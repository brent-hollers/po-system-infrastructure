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mercycatholic-my.sharepoint.com/personal/bhollers_smaschool_org/Documents/"/>
    </mc:Choice>
  </mc:AlternateContent>
  <xr:revisionPtr revIDLastSave="2899" documentId="8_{A342FE29-501C-4482-9C38-51935C6B34A2}" xr6:coauthVersionLast="47" xr6:coauthVersionMax="47" xr10:uidLastSave="{5DA175B7-1330-40D7-873B-4F5AFEE862D3}"/>
  <bookViews>
    <workbookView xWindow="-120" yWindow="-120" windowWidth="38640" windowHeight="21120" xr2:uid="{00000000-000D-0000-FFFF-FFFF00000000}"/>
  </bookViews>
  <sheets>
    <sheet name="IT" sheetId="3" r:id="rId1"/>
    <sheet name="STEM" sheetId="4" r:id="rId2"/>
    <sheet name="Field Trips" sheetId="7" r:id="rId3"/>
    <sheet name="Robotics" sheetId="5" r:id="rId4"/>
    <sheet name="Account List" sheetId="6" r:id="rId5"/>
    <sheet name="Blank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3" l="1"/>
  <c r="O27" i="4"/>
  <c r="O29" i="3"/>
  <c r="O37" i="8"/>
  <c r="O35" i="8"/>
  <c r="O33" i="8"/>
  <c r="O31" i="8"/>
  <c r="O29" i="8"/>
  <c r="O27" i="8"/>
  <c r="K6" i="8"/>
  <c r="E6" i="8"/>
  <c r="O33" i="3"/>
  <c r="O27" i="5"/>
  <c r="O37" i="7"/>
  <c r="O35" i="7"/>
  <c r="O33" i="7"/>
  <c r="O31" i="7"/>
  <c r="O29" i="7"/>
  <c r="O27" i="7"/>
  <c r="K6" i="7"/>
  <c r="E6" i="7"/>
  <c r="O37" i="5"/>
  <c r="O35" i="5"/>
  <c r="O33" i="5"/>
  <c r="O31" i="5"/>
  <c r="O29" i="5"/>
  <c r="K6" i="5"/>
  <c r="E6" i="5"/>
  <c r="O29" i="4"/>
  <c r="O31" i="3"/>
  <c r="O37" i="4"/>
  <c r="O35" i="4"/>
  <c r="O33" i="4"/>
  <c r="O31" i="4"/>
  <c r="O37" i="3"/>
  <c r="O35" i="3"/>
  <c r="K6" i="3"/>
  <c r="E6" i="3"/>
  <c r="K6" i="4"/>
  <c r="E6" i="4"/>
  <c r="O10" i="8" l="1"/>
  <c r="O10" i="3"/>
  <c r="O10" i="5"/>
  <c r="O10" i="7"/>
  <c r="O10" i="4"/>
</calcChain>
</file>

<file path=xl/sharedStrings.xml><?xml version="1.0" encoding="utf-8"?>
<sst xmlns="http://schemas.openxmlformats.org/spreadsheetml/2006/main" count="187" uniqueCount="62">
  <si>
    <t>Description</t>
  </si>
  <si>
    <t xml:space="preserve"> EMAIL:</t>
  </si>
  <si>
    <r>
      <rPr>
        <b/>
        <sz val="15"/>
        <color rgb="FF231F20"/>
        <rFont val="Myriad Pro"/>
        <family val="2"/>
      </rPr>
      <t>CONTACT NAME:</t>
    </r>
  </si>
  <si>
    <t>WEB ADDRESS:</t>
  </si>
  <si>
    <t>PHONE NUMBER:</t>
  </si>
  <si>
    <r>
      <rPr>
        <b/>
        <sz val="15"/>
        <color rgb="FF231F20"/>
        <rFont val="Myriad Pro"/>
        <family val="2"/>
      </rPr>
      <t>CITY, STATE, ZIP:</t>
    </r>
  </si>
  <si>
    <t>ADDRESS:</t>
  </si>
  <si>
    <r>
      <rPr>
        <b/>
        <sz val="15"/>
        <color rgb="FF231F20"/>
        <rFont val="Myriad Pro"/>
        <family val="2"/>
      </rPr>
      <t>VENDOR NAME:</t>
    </r>
  </si>
  <si>
    <t>Ext.  Price</t>
  </si>
  <si>
    <t>Unit Price</t>
  </si>
  <si>
    <t xml:space="preserve"> Item# </t>
  </si>
  <si>
    <t>Quantity</t>
  </si>
  <si>
    <t xml:space="preserve">After obtaining Department Head and Principal approval, return form with original receipts attached to the Business Office.  Upon Business Manager approval, reimbursement wll be processed. </t>
  </si>
  <si>
    <r>
      <t xml:space="preserve">       </t>
    </r>
    <r>
      <rPr>
        <b/>
        <sz val="15"/>
        <color rgb="FF231F20"/>
        <rFont val="Myriad Pro"/>
        <family val="2"/>
      </rPr>
      <t>I WILL PURCHASE WITH MY PERSONAL FUNDS</t>
    </r>
  </si>
  <si>
    <r>
      <t xml:space="preserve">        </t>
    </r>
    <r>
      <rPr>
        <sz val="15"/>
        <color rgb="FF231F20"/>
        <rFont val="Myriad Pro"/>
        <family val="2"/>
      </rPr>
      <t>Upon funds approval Business Office will then order item.</t>
    </r>
  </si>
  <si>
    <r>
      <t xml:space="preserve">        </t>
    </r>
    <r>
      <rPr>
        <sz val="15"/>
        <color rgb="FF231F20"/>
        <rFont val="Myriad Pro"/>
        <family val="2"/>
      </rPr>
      <t>Once Department Head and principal approval has been obtained turn request into Business office</t>
    </r>
  </si>
  <si>
    <t xml:space="preserve">       PLEASE ORDER</t>
  </si>
  <si>
    <t xml:space="preserve">TOTAL COST (w/ Shipping):  </t>
  </si>
  <si>
    <t>DATE REQUESTED:</t>
  </si>
  <si>
    <t xml:space="preserve">FACULTY/STAFF NAME: </t>
  </si>
  <si>
    <t>PREAPPROVED EXPENSE FORM - STAFF / FACULTY</t>
  </si>
  <si>
    <r>
      <rPr>
        <sz val="11"/>
        <color rgb="FF231F20"/>
        <rFont val="Myriad Pro"/>
        <family val="2"/>
      </rPr>
      <t>PURPOSE OF REQUEST:</t>
    </r>
  </si>
  <si>
    <r>
      <rPr>
        <sz val="11"/>
        <color rgb="FF231F20"/>
        <rFont val="Myriad Pro"/>
        <family val="2"/>
      </rPr>
      <t>ACCOUNT NAME and #:</t>
    </r>
  </si>
  <si>
    <r>
      <rPr>
        <sz val="11"/>
        <color rgb="FF231F20"/>
        <rFont val="Myriad Pro"/>
        <family val="2"/>
      </rPr>
      <t>DEPARTMENT:</t>
    </r>
  </si>
  <si>
    <r>
      <rPr>
        <sz val="11"/>
        <color rgb="FF231F20"/>
        <rFont val="Myriad Pro"/>
        <family val="2"/>
      </rPr>
      <t>DATE NEEDED:</t>
    </r>
  </si>
  <si>
    <r>
      <rPr>
        <b/>
        <sz val="11"/>
        <color rgb="FF231F20"/>
        <rFont val="Myriad Pro"/>
        <family val="2"/>
      </rPr>
      <t xml:space="preserve">DEPARTMENT HEAD APPROVAL: </t>
    </r>
    <r>
      <rPr>
        <sz val="11"/>
        <color rgb="FF231F20"/>
        <rFont val="Myriad Pro"/>
        <family val="2"/>
      </rPr>
      <t xml:space="preserve">(signature needed) </t>
    </r>
  </si>
  <si>
    <r>
      <rPr>
        <b/>
        <sz val="11"/>
        <color rgb="FF231F20"/>
        <rFont val="Myriad Pro"/>
        <family val="2"/>
      </rPr>
      <t xml:space="preserve">PRINCIPAL APPROVAL: </t>
    </r>
    <r>
      <rPr>
        <sz val="11"/>
        <color rgb="FF231F20"/>
        <rFont val="Myriad Pro"/>
        <family val="2"/>
      </rPr>
      <t>(signature needed)</t>
    </r>
  </si>
  <si>
    <r>
      <rPr>
        <b/>
        <sz val="11"/>
        <color rgb="FF231F20"/>
        <rFont val="Myriad Pro"/>
        <family val="2"/>
      </rPr>
      <t xml:space="preserve">BUSINESS MANAGER  APPROVAL: </t>
    </r>
    <r>
      <rPr>
        <sz val="11"/>
        <color rgb="FF231F20"/>
        <rFont val="Myriad Pro"/>
        <family val="2"/>
      </rPr>
      <t>(signature needed)</t>
    </r>
  </si>
  <si>
    <t>Brent Hollers</t>
  </si>
  <si>
    <t>ST. MARY'S ACADEMY</t>
  </si>
  <si>
    <t>IT</t>
  </si>
  <si>
    <t>STEM</t>
  </si>
  <si>
    <t>7115.031.13.20</t>
  </si>
  <si>
    <t>7105.037.00.10 Supplies</t>
  </si>
  <si>
    <t>7200.037.00.10 Copier</t>
  </si>
  <si>
    <t>7365.037.00.10 Consulting</t>
  </si>
  <si>
    <t>7390.037.00.10 Website Dev</t>
  </si>
  <si>
    <t>7410.037.00.10 Furniture / Equip</t>
  </si>
  <si>
    <t>7415.037.00.10 Software License Agreement</t>
  </si>
  <si>
    <t>7420.037.00.10 Utilities - Internet</t>
  </si>
  <si>
    <t>7660.037.00.10 Misc Expenses</t>
  </si>
  <si>
    <t>Government Textbooks</t>
  </si>
  <si>
    <t>Government E-Access Textbook</t>
  </si>
  <si>
    <t>Pearson, Inc</t>
  </si>
  <si>
    <t>7520.0.37.00.10 Capital Impr.</t>
  </si>
  <si>
    <t>7535.037.00.10 Utilities - Telephone</t>
  </si>
  <si>
    <t>7655.037.00.10 Replacement Furn/Equip</t>
  </si>
  <si>
    <t>2940.031.03</t>
  </si>
  <si>
    <t>Elementary</t>
  </si>
  <si>
    <t>Amazon</t>
  </si>
  <si>
    <t>Robotics Shirts</t>
  </si>
  <si>
    <t>Shirts Atlanta</t>
  </si>
  <si>
    <t>Fernbank</t>
  </si>
  <si>
    <t>22 students, 3 adults deposit</t>
  </si>
  <si>
    <t>3rd Grade Field Trip Remaining Balance</t>
  </si>
  <si>
    <t>Give check to Elisa Hollers Prior to April 14th</t>
  </si>
  <si>
    <t>Hydroponics Resources</t>
  </si>
  <si>
    <t>Rock Wool Cubes</t>
  </si>
  <si>
    <t>Net Pots</t>
  </si>
  <si>
    <t>Cat 5 Cable 10 Pack</t>
  </si>
  <si>
    <t>Algo 8301</t>
  </si>
  <si>
    <t>Additional Algo for Intercom / Ethernet 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</si>
</sst>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;[Red]&quot;$&quot;#,##0.00"/>
    <numFmt numFmtId="165" formatCode="[$-F800]dddd\,\ mmmm\ dd\,\ yyyy"/>
  </numFmts>
  <fonts count="2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5"/>
      <color rgb="FF000000"/>
      <name val="Times New Roman"/>
      <family val="1"/>
    </font>
    <font>
      <sz val="24"/>
      <color rgb="FF000000"/>
      <name val="Times New Roman"/>
      <family val="1"/>
    </font>
    <font>
      <u/>
      <sz val="10"/>
      <color theme="10"/>
      <name val="Times New Roman"/>
      <family val="1"/>
    </font>
    <font>
      <u/>
      <sz val="24"/>
      <color theme="10"/>
      <name val="Times New Roman"/>
      <family val="1"/>
    </font>
    <font>
      <b/>
      <sz val="15"/>
      <color rgb="FF231F20"/>
      <name val="Myriad Pro"/>
      <family val="2"/>
    </font>
    <font>
      <b/>
      <sz val="15"/>
      <name val="Myriad Pro"/>
      <family val="2"/>
    </font>
    <font>
      <sz val="18"/>
      <color rgb="FF000000"/>
      <name val="Times New Roman"/>
      <family val="1"/>
    </font>
    <font>
      <sz val="16"/>
      <color rgb="FF000000"/>
      <name val="Times New Roman"/>
      <family val="1"/>
    </font>
    <font>
      <sz val="10"/>
      <name val="Myriad Pro"/>
      <family val="2"/>
    </font>
    <font>
      <sz val="15"/>
      <name val="Myriad Pro"/>
      <family val="2"/>
    </font>
    <font>
      <sz val="15"/>
      <color rgb="FF231F20"/>
      <name val="Myriad Pro"/>
      <family val="2"/>
    </font>
    <font>
      <b/>
      <sz val="18"/>
      <color rgb="FF000000"/>
      <name val="Times New Roman"/>
      <family val="1"/>
    </font>
    <font>
      <sz val="20"/>
      <color rgb="FF000000"/>
      <name val="Times New Roman"/>
      <family val="1"/>
    </font>
    <font>
      <sz val="24"/>
      <color rgb="FF231F20"/>
      <name val="Myriad Pro"/>
      <family val="2"/>
    </font>
    <font>
      <b/>
      <sz val="24"/>
      <name val="Times New Roman"/>
      <family val="1"/>
    </font>
    <font>
      <sz val="11"/>
      <color rgb="FF231F20"/>
      <name val="Myriad Pro"/>
      <family val="2"/>
    </font>
    <font>
      <sz val="11"/>
      <name val="Myriad Pro"/>
      <family val="2"/>
    </font>
    <font>
      <b/>
      <sz val="11"/>
      <color rgb="FF231F20"/>
      <name val="Myriad Pro"/>
      <family val="2"/>
    </font>
    <font>
      <sz val="11"/>
      <color rgb="FF1313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1" fillId="0" borderId="0" xfId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44" fontId="2" fillId="0" borderId="6" xfId="3" applyFont="1" applyFill="1" applyBorder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8" fillId="0" borderId="6" xfId="1" applyFont="1" applyBorder="1" applyAlignment="1">
      <alignment horizontal="left" vertical="center"/>
    </xf>
    <xf numFmtId="0" fontId="8" fillId="0" borderId="6" xfId="1" applyFont="1" applyBorder="1" applyAlignment="1">
      <alignment horizontal="center" vertical="center"/>
    </xf>
    <xf numFmtId="44" fontId="9" fillId="0" borderId="6" xfId="3" applyFont="1" applyFill="1" applyBorder="1" applyAlignment="1">
      <alignment horizontal="center" vertical="center"/>
    </xf>
    <xf numFmtId="0" fontId="9" fillId="0" borderId="0" xfId="1" applyFont="1" applyAlignment="1">
      <alignment horizontal="left" vertical="center"/>
    </xf>
    <xf numFmtId="164" fontId="9" fillId="0" borderId="6" xfId="1" applyNumberFormat="1" applyFont="1" applyBorder="1" applyAlignment="1">
      <alignment vertical="center"/>
    </xf>
    <xf numFmtId="0" fontId="9" fillId="0" borderId="0" xfId="1" applyFont="1" applyAlignment="1">
      <alignment horizontal="center"/>
    </xf>
    <xf numFmtId="44" fontId="9" fillId="0" borderId="6" xfId="3" applyFont="1" applyFill="1" applyBorder="1" applyAlignment="1">
      <alignment vertical="center"/>
    </xf>
    <xf numFmtId="0" fontId="6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 wrapText="1"/>
    </xf>
    <xf numFmtId="0" fontId="12" fillId="0" borderId="7" xfId="1" applyFont="1" applyBorder="1" applyAlignment="1">
      <alignment horizontal="left" vertical="center"/>
    </xf>
    <xf numFmtId="0" fontId="12" fillId="0" borderId="0" xfId="1" applyFont="1" applyAlignment="1">
      <alignment horizontal="left" vertical="center"/>
    </xf>
    <xf numFmtId="44" fontId="13" fillId="0" borderId="6" xfId="3" applyFont="1" applyFill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14" fillId="0" borderId="0" xfId="1" applyFont="1" applyAlignment="1">
      <alignment horizontal="left" vertical="center"/>
    </xf>
    <xf numFmtId="0" fontId="17" fillId="0" borderId="0" xfId="1" applyFont="1" applyAlignment="1">
      <alignment horizontal="left" vertical="center"/>
    </xf>
    <xf numFmtId="0" fontId="18" fillId="0" borderId="0" xfId="1" applyFont="1" applyAlignment="1">
      <alignment horizontal="left" vertical="center"/>
    </xf>
    <xf numFmtId="0" fontId="20" fillId="0" borderId="0" xfId="0" applyFont="1" applyAlignment="1">
      <alignment horizontal="left" vertical="center" indent="1"/>
    </xf>
    <xf numFmtId="0" fontId="17" fillId="0" borderId="0" xfId="1" applyFont="1" applyAlignment="1">
      <alignment horizontal="left" vertical="center"/>
    </xf>
    <xf numFmtId="14" fontId="8" fillId="0" borderId="3" xfId="1" applyNumberFormat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4" fontId="2" fillId="0" borderId="3" xfId="1" applyNumberFormat="1" applyFont="1" applyBorder="1" applyAlignment="1">
      <alignment horizontal="center" vertical="center"/>
    </xf>
    <xf numFmtId="14" fontId="2" fillId="0" borderId="2" xfId="1" applyNumberFormat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165" fontId="8" fillId="0" borderId="3" xfId="1" applyNumberFormat="1" applyFont="1" applyBorder="1" applyAlignment="1">
      <alignment horizontal="center" vertical="center"/>
    </xf>
    <xf numFmtId="165" fontId="8" fillId="0" borderId="2" xfId="1" applyNumberFormat="1" applyFont="1" applyBorder="1" applyAlignment="1">
      <alignment horizontal="center" vertical="center"/>
    </xf>
    <xf numFmtId="165" fontId="8" fillId="0" borderId="1" xfId="1" applyNumberFormat="1" applyFont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7" xfId="1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 indent="4"/>
    </xf>
    <xf numFmtId="0" fontId="11" fillId="0" borderId="0" xfId="1" applyFont="1" applyAlignment="1">
      <alignment horizontal="left" vertical="center" wrapText="1" indent="4"/>
    </xf>
    <xf numFmtId="0" fontId="6" fillId="0" borderId="0" xfId="1" applyFont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5" fillId="0" borderId="3" xfId="2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0" borderId="3" xfId="2" applyFill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</cellXfs>
  <cellStyles count="4">
    <cellStyle name="Currency 2" xfId="3" xr:uid="{00000000-0005-0000-0000-000000000000}"/>
    <cellStyle name="Hyperlink" xfId="2" builtinId="8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65313</xdr:colOff>
      <xdr:row>17</xdr:row>
      <xdr:rowOff>119743</xdr:rowOff>
    </xdr:from>
    <xdr:ext cx="179615" cy="179614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3" y="4882243"/>
          <a:ext cx="179615" cy="179614"/>
        </a:xfrm>
        <a:prstGeom prst="rect">
          <a:avLst/>
        </a:prstGeom>
      </xdr:spPr>
    </xdr:pic>
    <xdr:clientData/>
  </xdr:oneCellAnchor>
  <xdr:oneCellAnchor>
    <xdr:from>
      <xdr:col>0</xdr:col>
      <xdr:colOff>171450</xdr:colOff>
      <xdr:row>19</xdr:row>
      <xdr:rowOff>92529</xdr:rowOff>
    </xdr:from>
    <xdr:ext cx="114300" cy="117474"/>
    <xdr:grpSp>
      <xdr:nvGrpSpPr>
        <xdr:cNvPr id="3" name="Group 2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71450" y="5576208"/>
          <a:ext cx="114300" cy="117474"/>
          <a:chOff x="0" y="0"/>
          <a:chExt cx="114300" cy="114300"/>
        </a:xfrm>
      </xdr:grpSpPr>
      <xdr:sp macro="" textlink="">
        <xdr:nvSpPr>
          <xdr:cNvPr id="4" name="Shape 28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53975" y="0"/>
                </a:move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close/>
              </a:path>
            </a:pathLst>
          </a:custGeom>
          <a:solidFill>
            <a:srgbClr val="231F20"/>
          </a:solidFill>
        </xdr:spPr>
      </xdr:sp>
      <xdr:sp macro="" textlink="">
        <xdr:nvSpPr>
          <xdr:cNvPr id="5" name="Shape 29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107950" y="53975"/>
                </a:move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oneCellAnchor>
  <xdr:oneCellAnchor>
    <xdr:from>
      <xdr:col>0</xdr:col>
      <xdr:colOff>185058</xdr:colOff>
      <xdr:row>18</xdr:row>
      <xdr:rowOff>110218</xdr:rowOff>
    </xdr:from>
    <xdr:ext cx="114300" cy="114300"/>
    <xdr:grpSp>
      <xdr:nvGrpSpPr>
        <xdr:cNvPr id="6" name="Group 3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85058" y="5280932"/>
          <a:ext cx="114300" cy="114300"/>
          <a:chOff x="0" y="0"/>
          <a:chExt cx="114300" cy="114300"/>
        </a:xfrm>
      </xdr:grpSpPr>
      <xdr:sp macro="" textlink="">
        <xdr:nvSpPr>
          <xdr:cNvPr id="7" name="Shape 31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53975" y="0"/>
                </a:move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close/>
              </a:path>
            </a:pathLst>
          </a:custGeom>
          <a:solidFill>
            <a:srgbClr val="231F20"/>
          </a:solidFill>
        </xdr:spPr>
      </xdr:sp>
      <xdr:sp macro="" textlink="">
        <xdr:nvSpPr>
          <xdr:cNvPr id="8" name="Shape 32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107950" y="53975"/>
                </a:move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oneCellAnchor>
  <xdr:oneCellAnchor>
    <xdr:from>
      <xdr:col>0</xdr:col>
      <xdr:colOff>175532</xdr:colOff>
      <xdr:row>22</xdr:row>
      <xdr:rowOff>96611</xdr:rowOff>
    </xdr:from>
    <xdr:ext cx="114300" cy="117474"/>
    <xdr:grpSp>
      <xdr:nvGrpSpPr>
        <xdr:cNvPr id="9" name="Group 3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175532" y="6478361"/>
          <a:ext cx="114300" cy="117474"/>
          <a:chOff x="0" y="0"/>
          <a:chExt cx="114300" cy="114300"/>
        </a:xfrm>
      </xdr:grpSpPr>
      <xdr:sp macro="" textlink="">
        <xdr:nvSpPr>
          <xdr:cNvPr id="10" name="Shape 35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53975" y="0"/>
                </a:move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close/>
              </a:path>
            </a:pathLst>
          </a:custGeom>
          <a:solidFill>
            <a:srgbClr val="231F20"/>
          </a:solidFill>
        </xdr:spPr>
      </xdr:sp>
      <xdr:sp macro="" textlink="">
        <xdr:nvSpPr>
          <xdr:cNvPr id="11" name="Shape 36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107950" y="53975"/>
                </a:move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oneCellAnchor>
  <xdr:oneCellAnchor>
    <xdr:from>
      <xdr:col>0</xdr:col>
      <xdr:colOff>68036</xdr:colOff>
      <xdr:row>21</xdr:row>
      <xdr:rowOff>108857</xdr:rowOff>
    </xdr:from>
    <xdr:ext cx="179615" cy="179614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6" y="6071507"/>
          <a:ext cx="179615" cy="179614"/>
        </a:xfrm>
        <a:prstGeom prst="rect">
          <a:avLst/>
        </a:prstGeom>
      </xdr:spPr>
    </xdr:pic>
    <xdr:clientData/>
  </xdr:oneCellAnchor>
  <xdr:twoCellAnchor editAs="oneCell">
    <xdr:from>
      <xdr:col>0</xdr:col>
      <xdr:colOff>503464</xdr:colOff>
      <xdr:row>0</xdr:row>
      <xdr:rowOff>136071</xdr:rowOff>
    </xdr:from>
    <xdr:to>
      <xdr:col>2</xdr:col>
      <xdr:colOff>326572</xdr:colOff>
      <xdr:row>2</xdr:row>
      <xdr:rowOff>143534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5B5D73F-0FE3-9DC0-CBF5-D22AB6D4B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464" y="136071"/>
          <a:ext cx="625929" cy="7694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65313</xdr:colOff>
      <xdr:row>17</xdr:row>
      <xdr:rowOff>119743</xdr:rowOff>
    </xdr:from>
    <xdr:ext cx="179615" cy="179614"/>
    <xdr:pic>
      <xdr:nvPicPr>
        <xdr:cNvPr id="2" name="image1.png">
          <a:extLst>
            <a:ext uri="{FF2B5EF4-FFF2-40B4-BE49-F238E27FC236}">
              <a16:creationId xmlns:a16="http://schemas.microsoft.com/office/drawing/2014/main" id="{ACFD649C-7F94-4A56-99B4-917F9B0B4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3" y="4882243"/>
          <a:ext cx="179615" cy="179614"/>
        </a:xfrm>
        <a:prstGeom prst="rect">
          <a:avLst/>
        </a:prstGeom>
      </xdr:spPr>
    </xdr:pic>
    <xdr:clientData/>
  </xdr:oneCellAnchor>
  <xdr:oneCellAnchor>
    <xdr:from>
      <xdr:col>0</xdr:col>
      <xdr:colOff>171450</xdr:colOff>
      <xdr:row>19</xdr:row>
      <xdr:rowOff>92529</xdr:rowOff>
    </xdr:from>
    <xdr:ext cx="114300" cy="117474"/>
    <xdr:grpSp>
      <xdr:nvGrpSpPr>
        <xdr:cNvPr id="3" name="Group 27">
          <a:extLst>
            <a:ext uri="{FF2B5EF4-FFF2-40B4-BE49-F238E27FC236}">
              <a16:creationId xmlns:a16="http://schemas.microsoft.com/office/drawing/2014/main" id="{9E3B3A2C-898F-412F-83DA-A7D410022A80}"/>
            </a:ext>
          </a:extLst>
        </xdr:cNvPr>
        <xdr:cNvGrpSpPr/>
      </xdr:nvGrpSpPr>
      <xdr:grpSpPr>
        <a:xfrm>
          <a:off x="171450" y="5576208"/>
          <a:ext cx="114300" cy="117474"/>
          <a:chOff x="0" y="0"/>
          <a:chExt cx="114300" cy="114300"/>
        </a:xfrm>
      </xdr:grpSpPr>
      <xdr:sp macro="" textlink="">
        <xdr:nvSpPr>
          <xdr:cNvPr id="4" name="Shape 28">
            <a:extLst>
              <a:ext uri="{FF2B5EF4-FFF2-40B4-BE49-F238E27FC236}">
                <a16:creationId xmlns:a16="http://schemas.microsoft.com/office/drawing/2014/main" id="{3E2E5F0A-C5ED-DDC8-B6D4-CF1AE7C569E2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53975" y="0"/>
                </a:move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close/>
              </a:path>
            </a:pathLst>
          </a:custGeom>
          <a:solidFill>
            <a:srgbClr val="231F20"/>
          </a:solidFill>
        </xdr:spPr>
      </xdr:sp>
      <xdr:sp macro="" textlink="">
        <xdr:nvSpPr>
          <xdr:cNvPr id="5" name="Shape 29">
            <a:extLst>
              <a:ext uri="{FF2B5EF4-FFF2-40B4-BE49-F238E27FC236}">
                <a16:creationId xmlns:a16="http://schemas.microsoft.com/office/drawing/2014/main" id="{87CE338E-6EC3-67EE-A747-C6D76BA12166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107950" y="53975"/>
                </a:move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oneCellAnchor>
  <xdr:oneCellAnchor>
    <xdr:from>
      <xdr:col>0</xdr:col>
      <xdr:colOff>185058</xdr:colOff>
      <xdr:row>18</xdr:row>
      <xdr:rowOff>110218</xdr:rowOff>
    </xdr:from>
    <xdr:ext cx="114300" cy="114300"/>
    <xdr:grpSp>
      <xdr:nvGrpSpPr>
        <xdr:cNvPr id="6" name="Group 30">
          <a:extLst>
            <a:ext uri="{FF2B5EF4-FFF2-40B4-BE49-F238E27FC236}">
              <a16:creationId xmlns:a16="http://schemas.microsoft.com/office/drawing/2014/main" id="{A8F1A995-927D-4F45-A6DF-DC3A66B4E43B}"/>
            </a:ext>
          </a:extLst>
        </xdr:cNvPr>
        <xdr:cNvGrpSpPr/>
      </xdr:nvGrpSpPr>
      <xdr:grpSpPr>
        <a:xfrm>
          <a:off x="185058" y="5280932"/>
          <a:ext cx="114300" cy="114300"/>
          <a:chOff x="0" y="0"/>
          <a:chExt cx="114300" cy="114300"/>
        </a:xfrm>
      </xdr:grpSpPr>
      <xdr:sp macro="" textlink="">
        <xdr:nvSpPr>
          <xdr:cNvPr id="7" name="Shape 31">
            <a:extLst>
              <a:ext uri="{FF2B5EF4-FFF2-40B4-BE49-F238E27FC236}">
                <a16:creationId xmlns:a16="http://schemas.microsoft.com/office/drawing/2014/main" id="{87E226A6-2BE6-D898-3019-D5FFE0194469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53975" y="0"/>
                </a:move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close/>
              </a:path>
            </a:pathLst>
          </a:custGeom>
          <a:solidFill>
            <a:srgbClr val="231F20"/>
          </a:solidFill>
        </xdr:spPr>
      </xdr:sp>
      <xdr:sp macro="" textlink="">
        <xdr:nvSpPr>
          <xdr:cNvPr id="8" name="Shape 32">
            <a:extLst>
              <a:ext uri="{FF2B5EF4-FFF2-40B4-BE49-F238E27FC236}">
                <a16:creationId xmlns:a16="http://schemas.microsoft.com/office/drawing/2014/main" id="{1A93B0AF-F048-E0F5-B8CC-C49EFD7FFD70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107950" y="53975"/>
                </a:move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oneCellAnchor>
  <xdr:oneCellAnchor>
    <xdr:from>
      <xdr:col>0</xdr:col>
      <xdr:colOff>175532</xdr:colOff>
      <xdr:row>22</xdr:row>
      <xdr:rowOff>96611</xdr:rowOff>
    </xdr:from>
    <xdr:ext cx="114300" cy="117474"/>
    <xdr:grpSp>
      <xdr:nvGrpSpPr>
        <xdr:cNvPr id="9" name="Group 34">
          <a:extLst>
            <a:ext uri="{FF2B5EF4-FFF2-40B4-BE49-F238E27FC236}">
              <a16:creationId xmlns:a16="http://schemas.microsoft.com/office/drawing/2014/main" id="{2413607C-A11C-493B-9E7F-684C5235AA88}"/>
            </a:ext>
          </a:extLst>
        </xdr:cNvPr>
        <xdr:cNvGrpSpPr/>
      </xdr:nvGrpSpPr>
      <xdr:grpSpPr>
        <a:xfrm>
          <a:off x="175532" y="6464754"/>
          <a:ext cx="114300" cy="117474"/>
          <a:chOff x="0" y="0"/>
          <a:chExt cx="114300" cy="114300"/>
        </a:xfrm>
      </xdr:grpSpPr>
      <xdr:sp macro="" textlink="">
        <xdr:nvSpPr>
          <xdr:cNvPr id="10" name="Shape 35">
            <a:extLst>
              <a:ext uri="{FF2B5EF4-FFF2-40B4-BE49-F238E27FC236}">
                <a16:creationId xmlns:a16="http://schemas.microsoft.com/office/drawing/2014/main" id="{1E69C8E7-82F7-CB87-4142-990FE61C7881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53975" y="0"/>
                </a:move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close/>
              </a:path>
            </a:pathLst>
          </a:custGeom>
          <a:solidFill>
            <a:srgbClr val="231F20"/>
          </a:solidFill>
        </xdr:spPr>
      </xdr:sp>
      <xdr:sp macro="" textlink="">
        <xdr:nvSpPr>
          <xdr:cNvPr id="11" name="Shape 36">
            <a:extLst>
              <a:ext uri="{FF2B5EF4-FFF2-40B4-BE49-F238E27FC236}">
                <a16:creationId xmlns:a16="http://schemas.microsoft.com/office/drawing/2014/main" id="{F3C99B8E-4674-9E58-D130-9D9420E6F90A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107950" y="53975"/>
                </a:move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oneCellAnchor>
  <xdr:oneCellAnchor>
    <xdr:from>
      <xdr:col>0</xdr:col>
      <xdr:colOff>68036</xdr:colOff>
      <xdr:row>21</xdr:row>
      <xdr:rowOff>108857</xdr:rowOff>
    </xdr:from>
    <xdr:ext cx="179615" cy="179614"/>
    <xdr:pic>
      <xdr:nvPicPr>
        <xdr:cNvPr id="12" name="image1.png">
          <a:extLst>
            <a:ext uri="{FF2B5EF4-FFF2-40B4-BE49-F238E27FC236}">
              <a16:creationId xmlns:a16="http://schemas.microsoft.com/office/drawing/2014/main" id="{7DED4223-78F2-425F-994F-8D4E4E047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6" y="6071507"/>
          <a:ext cx="179615" cy="179614"/>
        </a:xfrm>
        <a:prstGeom prst="rect">
          <a:avLst/>
        </a:prstGeom>
      </xdr:spPr>
    </xdr:pic>
    <xdr:clientData/>
  </xdr:oneCellAnchor>
  <xdr:twoCellAnchor editAs="oneCell">
    <xdr:from>
      <xdr:col>0</xdr:col>
      <xdr:colOff>503464</xdr:colOff>
      <xdr:row>0</xdr:row>
      <xdr:rowOff>136071</xdr:rowOff>
    </xdr:from>
    <xdr:to>
      <xdr:col>2</xdr:col>
      <xdr:colOff>326572</xdr:colOff>
      <xdr:row>2</xdr:row>
      <xdr:rowOff>143534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E2F80A7-2AB0-4F17-BD20-E2BFDAF18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464" y="136071"/>
          <a:ext cx="632733" cy="7694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65313</xdr:colOff>
      <xdr:row>17</xdr:row>
      <xdr:rowOff>119743</xdr:rowOff>
    </xdr:from>
    <xdr:ext cx="179615" cy="179614"/>
    <xdr:pic>
      <xdr:nvPicPr>
        <xdr:cNvPr id="2" name="image1.png">
          <a:extLst>
            <a:ext uri="{FF2B5EF4-FFF2-40B4-BE49-F238E27FC236}">
              <a16:creationId xmlns:a16="http://schemas.microsoft.com/office/drawing/2014/main" id="{2D7A17F6-16C7-4361-B989-55112B547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3" y="4882243"/>
          <a:ext cx="179615" cy="179614"/>
        </a:xfrm>
        <a:prstGeom prst="rect">
          <a:avLst/>
        </a:prstGeom>
      </xdr:spPr>
    </xdr:pic>
    <xdr:clientData/>
  </xdr:oneCellAnchor>
  <xdr:oneCellAnchor>
    <xdr:from>
      <xdr:col>0</xdr:col>
      <xdr:colOff>171450</xdr:colOff>
      <xdr:row>19</xdr:row>
      <xdr:rowOff>92529</xdr:rowOff>
    </xdr:from>
    <xdr:ext cx="114300" cy="117474"/>
    <xdr:grpSp>
      <xdr:nvGrpSpPr>
        <xdr:cNvPr id="3" name="Group 27">
          <a:extLst>
            <a:ext uri="{FF2B5EF4-FFF2-40B4-BE49-F238E27FC236}">
              <a16:creationId xmlns:a16="http://schemas.microsoft.com/office/drawing/2014/main" id="{C3034907-742D-41EF-886B-B6A7E88CF09C}"/>
            </a:ext>
          </a:extLst>
        </xdr:cNvPr>
        <xdr:cNvGrpSpPr/>
      </xdr:nvGrpSpPr>
      <xdr:grpSpPr>
        <a:xfrm>
          <a:off x="171450" y="5576208"/>
          <a:ext cx="114300" cy="117474"/>
          <a:chOff x="0" y="0"/>
          <a:chExt cx="114300" cy="114300"/>
        </a:xfrm>
      </xdr:grpSpPr>
      <xdr:sp macro="" textlink="">
        <xdr:nvSpPr>
          <xdr:cNvPr id="4" name="Shape 28">
            <a:extLst>
              <a:ext uri="{FF2B5EF4-FFF2-40B4-BE49-F238E27FC236}">
                <a16:creationId xmlns:a16="http://schemas.microsoft.com/office/drawing/2014/main" id="{7C040129-454B-A375-2D30-79C8A62E8B9C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53975" y="0"/>
                </a:move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close/>
              </a:path>
            </a:pathLst>
          </a:custGeom>
          <a:solidFill>
            <a:srgbClr val="231F20"/>
          </a:solidFill>
        </xdr:spPr>
      </xdr:sp>
      <xdr:sp macro="" textlink="">
        <xdr:nvSpPr>
          <xdr:cNvPr id="5" name="Shape 29">
            <a:extLst>
              <a:ext uri="{FF2B5EF4-FFF2-40B4-BE49-F238E27FC236}">
                <a16:creationId xmlns:a16="http://schemas.microsoft.com/office/drawing/2014/main" id="{5308352C-C486-12C6-1C22-90FE54D36492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107950" y="53975"/>
                </a:move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oneCellAnchor>
  <xdr:oneCellAnchor>
    <xdr:from>
      <xdr:col>0</xdr:col>
      <xdr:colOff>185058</xdr:colOff>
      <xdr:row>18</xdr:row>
      <xdr:rowOff>110218</xdr:rowOff>
    </xdr:from>
    <xdr:ext cx="114300" cy="114300"/>
    <xdr:grpSp>
      <xdr:nvGrpSpPr>
        <xdr:cNvPr id="6" name="Group 30">
          <a:extLst>
            <a:ext uri="{FF2B5EF4-FFF2-40B4-BE49-F238E27FC236}">
              <a16:creationId xmlns:a16="http://schemas.microsoft.com/office/drawing/2014/main" id="{ACC0ECE7-676D-4669-9811-6C079FB8E26A}"/>
            </a:ext>
          </a:extLst>
        </xdr:cNvPr>
        <xdr:cNvGrpSpPr/>
      </xdr:nvGrpSpPr>
      <xdr:grpSpPr>
        <a:xfrm>
          <a:off x="185058" y="5280932"/>
          <a:ext cx="114300" cy="114300"/>
          <a:chOff x="0" y="0"/>
          <a:chExt cx="114300" cy="114300"/>
        </a:xfrm>
      </xdr:grpSpPr>
      <xdr:sp macro="" textlink="">
        <xdr:nvSpPr>
          <xdr:cNvPr id="7" name="Shape 31">
            <a:extLst>
              <a:ext uri="{FF2B5EF4-FFF2-40B4-BE49-F238E27FC236}">
                <a16:creationId xmlns:a16="http://schemas.microsoft.com/office/drawing/2014/main" id="{2057B431-5DBC-46C1-1A1D-C0B66D4F9EE2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53975" y="0"/>
                </a:move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close/>
              </a:path>
            </a:pathLst>
          </a:custGeom>
          <a:solidFill>
            <a:srgbClr val="231F20"/>
          </a:solidFill>
        </xdr:spPr>
      </xdr:sp>
      <xdr:sp macro="" textlink="">
        <xdr:nvSpPr>
          <xdr:cNvPr id="8" name="Shape 32">
            <a:extLst>
              <a:ext uri="{FF2B5EF4-FFF2-40B4-BE49-F238E27FC236}">
                <a16:creationId xmlns:a16="http://schemas.microsoft.com/office/drawing/2014/main" id="{35F8919B-CC32-2A25-4B78-884A81F0CE40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107950" y="53975"/>
                </a:move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oneCellAnchor>
  <xdr:oneCellAnchor>
    <xdr:from>
      <xdr:col>0</xdr:col>
      <xdr:colOff>175532</xdr:colOff>
      <xdr:row>22</xdr:row>
      <xdr:rowOff>96611</xdr:rowOff>
    </xdr:from>
    <xdr:ext cx="114300" cy="117474"/>
    <xdr:grpSp>
      <xdr:nvGrpSpPr>
        <xdr:cNvPr id="9" name="Group 34">
          <a:extLst>
            <a:ext uri="{FF2B5EF4-FFF2-40B4-BE49-F238E27FC236}">
              <a16:creationId xmlns:a16="http://schemas.microsoft.com/office/drawing/2014/main" id="{EC875584-C6BA-4D29-808D-02145E4D4B4E}"/>
            </a:ext>
          </a:extLst>
        </xdr:cNvPr>
        <xdr:cNvGrpSpPr/>
      </xdr:nvGrpSpPr>
      <xdr:grpSpPr>
        <a:xfrm>
          <a:off x="175532" y="6464754"/>
          <a:ext cx="114300" cy="117474"/>
          <a:chOff x="0" y="0"/>
          <a:chExt cx="114300" cy="114300"/>
        </a:xfrm>
      </xdr:grpSpPr>
      <xdr:sp macro="" textlink="">
        <xdr:nvSpPr>
          <xdr:cNvPr id="10" name="Shape 35">
            <a:extLst>
              <a:ext uri="{FF2B5EF4-FFF2-40B4-BE49-F238E27FC236}">
                <a16:creationId xmlns:a16="http://schemas.microsoft.com/office/drawing/2014/main" id="{1462C678-F080-2ABE-926C-2C0C6FF7F3F6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53975" y="0"/>
                </a:move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close/>
              </a:path>
            </a:pathLst>
          </a:custGeom>
          <a:solidFill>
            <a:srgbClr val="231F20"/>
          </a:solidFill>
        </xdr:spPr>
      </xdr:sp>
      <xdr:sp macro="" textlink="">
        <xdr:nvSpPr>
          <xdr:cNvPr id="11" name="Shape 36">
            <a:extLst>
              <a:ext uri="{FF2B5EF4-FFF2-40B4-BE49-F238E27FC236}">
                <a16:creationId xmlns:a16="http://schemas.microsoft.com/office/drawing/2014/main" id="{7A831427-9BB3-322E-370E-3702FFC5F6E7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107950" y="53975"/>
                </a:move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oneCellAnchor>
  <xdr:oneCellAnchor>
    <xdr:from>
      <xdr:col>0</xdr:col>
      <xdr:colOff>68036</xdr:colOff>
      <xdr:row>21</xdr:row>
      <xdr:rowOff>108857</xdr:rowOff>
    </xdr:from>
    <xdr:ext cx="179615" cy="179614"/>
    <xdr:pic>
      <xdr:nvPicPr>
        <xdr:cNvPr id="12" name="image1.png">
          <a:extLst>
            <a:ext uri="{FF2B5EF4-FFF2-40B4-BE49-F238E27FC236}">
              <a16:creationId xmlns:a16="http://schemas.microsoft.com/office/drawing/2014/main" id="{21DFEDFD-5D23-48AD-BF56-BFAB212D5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6" y="6071507"/>
          <a:ext cx="179615" cy="179614"/>
        </a:xfrm>
        <a:prstGeom prst="rect">
          <a:avLst/>
        </a:prstGeom>
      </xdr:spPr>
    </xdr:pic>
    <xdr:clientData/>
  </xdr:oneCellAnchor>
  <xdr:twoCellAnchor editAs="oneCell">
    <xdr:from>
      <xdr:col>0</xdr:col>
      <xdr:colOff>503464</xdr:colOff>
      <xdr:row>0</xdr:row>
      <xdr:rowOff>136071</xdr:rowOff>
    </xdr:from>
    <xdr:to>
      <xdr:col>2</xdr:col>
      <xdr:colOff>326572</xdr:colOff>
      <xdr:row>2</xdr:row>
      <xdr:rowOff>143534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2A1F96C-71B1-49B7-9CCB-58D3C6DEB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464" y="136071"/>
          <a:ext cx="632733" cy="7694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65313</xdr:colOff>
      <xdr:row>17</xdr:row>
      <xdr:rowOff>119743</xdr:rowOff>
    </xdr:from>
    <xdr:ext cx="179615" cy="179614"/>
    <xdr:pic>
      <xdr:nvPicPr>
        <xdr:cNvPr id="2" name="image1.png">
          <a:extLst>
            <a:ext uri="{FF2B5EF4-FFF2-40B4-BE49-F238E27FC236}">
              <a16:creationId xmlns:a16="http://schemas.microsoft.com/office/drawing/2014/main" id="{968F7D3F-A491-4922-9EAE-4EACAFEB6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3" y="4882243"/>
          <a:ext cx="179615" cy="179614"/>
        </a:xfrm>
        <a:prstGeom prst="rect">
          <a:avLst/>
        </a:prstGeom>
      </xdr:spPr>
    </xdr:pic>
    <xdr:clientData/>
  </xdr:oneCellAnchor>
  <xdr:oneCellAnchor>
    <xdr:from>
      <xdr:col>0</xdr:col>
      <xdr:colOff>171450</xdr:colOff>
      <xdr:row>19</xdr:row>
      <xdr:rowOff>92529</xdr:rowOff>
    </xdr:from>
    <xdr:ext cx="114300" cy="117474"/>
    <xdr:grpSp>
      <xdr:nvGrpSpPr>
        <xdr:cNvPr id="3" name="Group 27">
          <a:extLst>
            <a:ext uri="{FF2B5EF4-FFF2-40B4-BE49-F238E27FC236}">
              <a16:creationId xmlns:a16="http://schemas.microsoft.com/office/drawing/2014/main" id="{3B743271-2E93-4E7D-A7A9-9E875A474C7E}"/>
            </a:ext>
          </a:extLst>
        </xdr:cNvPr>
        <xdr:cNvGrpSpPr/>
      </xdr:nvGrpSpPr>
      <xdr:grpSpPr>
        <a:xfrm>
          <a:off x="171450" y="5576208"/>
          <a:ext cx="114300" cy="117474"/>
          <a:chOff x="0" y="0"/>
          <a:chExt cx="114300" cy="114300"/>
        </a:xfrm>
      </xdr:grpSpPr>
      <xdr:sp macro="" textlink="">
        <xdr:nvSpPr>
          <xdr:cNvPr id="4" name="Shape 28">
            <a:extLst>
              <a:ext uri="{FF2B5EF4-FFF2-40B4-BE49-F238E27FC236}">
                <a16:creationId xmlns:a16="http://schemas.microsoft.com/office/drawing/2014/main" id="{44C297C6-C173-54CF-A6D1-46C8115CBD03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53975" y="0"/>
                </a:move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close/>
              </a:path>
            </a:pathLst>
          </a:custGeom>
          <a:solidFill>
            <a:srgbClr val="231F20"/>
          </a:solidFill>
        </xdr:spPr>
      </xdr:sp>
      <xdr:sp macro="" textlink="">
        <xdr:nvSpPr>
          <xdr:cNvPr id="5" name="Shape 29">
            <a:extLst>
              <a:ext uri="{FF2B5EF4-FFF2-40B4-BE49-F238E27FC236}">
                <a16:creationId xmlns:a16="http://schemas.microsoft.com/office/drawing/2014/main" id="{C5AFF75B-3A4F-8C62-B1B6-09719F6C7DB7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107950" y="53975"/>
                </a:move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oneCellAnchor>
  <xdr:oneCellAnchor>
    <xdr:from>
      <xdr:col>0</xdr:col>
      <xdr:colOff>185058</xdr:colOff>
      <xdr:row>18</xdr:row>
      <xdr:rowOff>110218</xdr:rowOff>
    </xdr:from>
    <xdr:ext cx="114300" cy="114300"/>
    <xdr:grpSp>
      <xdr:nvGrpSpPr>
        <xdr:cNvPr id="6" name="Group 30">
          <a:extLst>
            <a:ext uri="{FF2B5EF4-FFF2-40B4-BE49-F238E27FC236}">
              <a16:creationId xmlns:a16="http://schemas.microsoft.com/office/drawing/2014/main" id="{2C028954-4C2D-4A4F-8E0B-79F40E884CBC}"/>
            </a:ext>
          </a:extLst>
        </xdr:cNvPr>
        <xdr:cNvGrpSpPr/>
      </xdr:nvGrpSpPr>
      <xdr:grpSpPr>
        <a:xfrm>
          <a:off x="185058" y="5280932"/>
          <a:ext cx="114300" cy="114300"/>
          <a:chOff x="0" y="0"/>
          <a:chExt cx="114300" cy="114300"/>
        </a:xfrm>
      </xdr:grpSpPr>
      <xdr:sp macro="" textlink="">
        <xdr:nvSpPr>
          <xdr:cNvPr id="7" name="Shape 31">
            <a:extLst>
              <a:ext uri="{FF2B5EF4-FFF2-40B4-BE49-F238E27FC236}">
                <a16:creationId xmlns:a16="http://schemas.microsoft.com/office/drawing/2014/main" id="{8A028972-49CC-BDF0-A8BE-E3008BFBFD30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53975" y="0"/>
                </a:move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close/>
              </a:path>
            </a:pathLst>
          </a:custGeom>
          <a:solidFill>
            <a:srgbClr val="231F20"/>
          </a:solidFill>
        </xdr:spPr>
      </xdr:sp>
      <xdr:sp macro="" textlink="">
        <xdr:nvSpPr>
          <xdr:cNvPr id="8" name="Shape 32">
            <a:extLst>
              <a:ext uri="{FF2B5EF4-FFF2-40B4-BE49-F238E27FC236}">
                <a16:creationId xmlns:a16="http://schemas.microsoft.com/office/drawing/2014/main" id="{1569E68D-5574-C839-4D6F-F96F4E8D0051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107950" y="53975"/>
                </a:move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oneCellAnchor>
  <xdr:oneCellAnchor>
    <xdr:from>
      <xdr:col>0</xdr:col>
      <xdr:colOff>175532</xdr:colOff>
      <xdr:row>22</xdr:row>
      <xdr:rowOff>96611</xdr:rowOff>
    </xdr:from>
    <xdr:ext cx="114300" cy="117474"/>
    <xdr:grpSp>
      <xdr:nvGrpSpPr>
        <xdr:cNvPr id="9" name="Group 34">
          <a:extLst>
            <a:ext uri="{FF2B5EF4-FFF2-40B4-BE49-F238E27FC236}">
              <a16:creationId xmlns:a16="http://schemas.microsoft.com/office/drawing/2014/main" id="{9CD6B48F-9F38-4F34-88EC-2761F0672076}"/>
            </a:ext>
          </a:extLst>
        </xdr:cNvPr>
        <xdr:cNvGrpSpPr/>
      </xdr:nvGrpSpPr>
      <xdr:grpSpPr>
        <a:xfrm>
          <a:off x="175532" y="6464754"/>
          <a:ext cx="114300" cy="117474"/>
          <a:chOff x="0" y="0"/>
          <a:chExt cx="114300" cy="114300"/>
        </a:xfrm>
      </xdr:grpSpPr>
      <xdr:sp macro="" textlink="">
        <xdr:nvSpPr>
          <xdr:cNvPr id="10" name="Shape 35">
            <a:extLst>
              <a:ext uri="{FF2B5EF4-FFF2-40B4-BE49-F238E27FC236}">
                <a16:creationId xmlns:a16="http://schemas.microsoft.com/office/drawing/2014/main" id="{D5F5436E-CB9E-2DAC-813F-1B4A7BA8F3DC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53975" y="0"/>
                </a:move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close/>
              </a:path>
            </a:pathLst>
          </a:custGeom>
          <a:solidFill>
            <a:srgbClr val="231F20"/>
          </a:solidFill>
        </xdr:spPr>
      </xdr:sp>
      <xdr:sp macro="" textlink="">
        <xdr:nvSpPr>
          <xdr:cNvPr id="11" name="Shape 36">
            <a:extLst>
              <a:ext uri="{FF2B5EF4-FFF2-40B4-BE49-F238E27FC236}">
                <a16:creationId xmlns:a16="http://schemas.microsoft.com/office/drawing/2014/main" id="{3D19A025-CBD7-7E56-9762-B9D85BA6E817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107950" y="53975"/>
                </a:move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oneCellAnchor>
  <xdr:oneCellAnchor>
    <xdr:from>
      <xdr:col>0</xdr:col>
      <xdr:colOff>68036</xdr:colOff>
      <xdr:row>21</xdr:row>
      <xdr:rowOff>108857</xdr:rowOff>
    </xdr:from>
    <xdr:ext cx="179615" cy="179614"/>
    <xdr:pic>
      <xdr:nvPicPr>
        <xdr:cNvPr id="12" name="image1.png">
          <a:extLst>
            <a:ext uri="{FF2B5EF4-FFF2-40B4-BE49-F238E27FC236}">
              <a16:creationId xmlns:a16="http://schemas.microsoft.com/office/drawing/2014/main" id="{1CE336C3-7B90-4BAC-A71F-01FA2A6B8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6" y="6071507"/>
          <a:ext cx="179615" cy="179614"/>
        </a:xfrm>
        <a:prstGeom prst="rect">
          <a:avLst/>
        </a:prstGeom>
      </xdr:spPr>
    </xdr:pic>
    <xdr:clientData/>
  </xdr:oneCellAnchor>
  <xdr:twoCellAnchor editAs="oneCell">
    <xdr:from>
      <xdr:col>0</xdr:col>
      <xdr:colOff>503464</xdr:colOff>
      <xdr:row>0</xdr:row>
      <xdr:rowOff>136071</xdr:rowOff>
    </xdr:from>
    <xdr:to>
      <xdr:col>2</xdr:col>
      <xdr:colOff>326572</xdr:colOff>
      <xdr:row>2</xdr:row>
      <xdr:rowOff>143534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66F057F-EA31-4A11-A6CB-D6C41B97F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464" y="136071"/>
          <a:ext cx="632733" cy="76946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65313</xdr:colOff>
      <xdr:row>17</xdr:row>
      <xdr:rowOff>119743</xdr:rowOff>
    </xdr:from>
    <xdr:ext cx="179615" cy="179614"/>
    <xdr:pic>
      <xdr:nvPicPr>
        <xdr:cNvPr id="2" name="image1.png">
          <a:extLst>
            <a:ext uri="{FF2B5EF4-FFF2-40B4-BE49-F238E27FC236}">
              <a16:creationId xmlns:a16="http://schemas.microsoft.com/office/drawing/2014/main" id="{7EE44D95-F0D3-4C04-BA57-B1BB55904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3" y="4882243"/>
          <a:ext cx="179615" cy="179614"/>
        </a:xfrm>
        <a:prstGeom prst="rect">
          <a:avLst/>
        </a:prstGeom>
      </xdr:spPr>
    </xdr:pic>
    <xdr:clientData/>
  </xdr:oneCellAnchor>
  <xdr:oneCellAnchor>
    <xdr:from>
      <xdr:col>0</xdr:col>
      <xdr:colOff>171450</xdr:colOff>
      <xdr:row>19</xdr:row>
      <xdr:rowOff>92529</xdr:rowOff>
    </xdr:from>
    <xdr:ext cx="114300" cy="117474"/>
    <xdr:grpSp>
      <xdr:nvGrpSpPr>
        <xdr:cNvPr id="3" name="Group 27">
          <a:extLst>
            <a:ext uri="{FF2B5EF4-FFF2-40B4-BE49-F238E27FC236}">
              <a16:creationId xmlns:a16="http://schemas.microsoft.com/office/drawing/2014/main" id="{10FEABC8-4EE1-4C3C-A23C-85E747669716}"/>
            </a:ext>
          </a:extLst>
        </xdr:cNvPr>
        <xdr:cNvGrpSpPr/>
      </xdr:nvGrpSpPr>
      <xdr:grpSpPr>
        <a:xfrm>
          <a:off x="171450" y="5576208"/>
          <a:ext cx="114300" cy="117474"/>
          <a:chOff x="0" y="0"/>
          <a:chExt cx="114300" cy="114300"/>
        </a:xfrm>
      </xdr:grpSpPr>
      <xdr:sp macro="" textlink="">
        <xdr:nvSpPr>
          <xdr:cNvPr id="4" name="Shape 28">
            <a:extLst>
              <a:ext uri="{FF2B5EF4-FFF2-40B4-BE49-F238E27FC236}">
                <a16:creationId xmlns:a16="http://schemas.microsoft.com/office/drawing/2014/main" id="{074BAB86-EBD6-B754-40D3-EA7D73F0D014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53975" y="0"/>
                </a:move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close/>
              </a:path>
            </a:pathLst>
          </a:custGeom>
          <a:solidFill>
            <a:srgbClr val="231F20"/>
          </a:solidFill>
        </xdr:spPr>
      </xdr:sp>
      <xdr:sp macro="" textlink="">
        <xdr:nvSpPr>
          <xdr:cNvPr id="5" name="Shape 29">
            <a:extLst>
              <a:ext uri="{FF2B5EF4-FFF2-40B4-BE49-F238E27FC236}">
                <a16:creationId xmlns:a16="http://schemas.microsoft.com/office/drawing/2014/main" id="{D84BF7CF-8AF0-65D3-83FF-9CC65CB4772F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107950" y="53975"/>
                </a:move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oneCellAnchor>
  <xdr:oneCellAnchor>
    <xdr:from>
      <xdr:col>0</xdr:col>
      <xdr:colOff>185058</xdr:colOff>
      <xdr:row>18</xdr:row>
      <xdr:rowOff>110218</xdr:rowOff>
    </xdr:from>
    <xdr:ext cx="114300" cy="114300"/>
    <xdr:grpSp>
      <xdr:nvGrpSpPr>
        <xdr:cNvPr id="6" name="Group 30">
          <a:extLst>
            <a:ext uri="{FF2B5EF4-FFF2-40B4-BE49-F238E27FC236}">
              <a16:creationId xmlns:a16="http://schemas.microsoft.com/office/drawing/2014/main" id="{CD4D874F-33D3-4794-83DD-31C209B77BC0}"/>
            </a:ext>
          </a:extLst>
        </xdr:cNvPr>
        <xdr:cNvGrpSpPr/>
      </xdr:nvGrpSpPr>
      <xdr:grpSpPr>
        <a:xfrm>
          <a:off x="185058" y="5280932"/>
          <a:ext cx="114300" cy="114300"/>
          <a:chOff x="0" y="0"/>
          <a:chExt cx="114300" cy="114300"/>
        </a:xfrm>
      </xdr:grpSpPr>
      <xdr:sp macro="" textlink="">
        <xdr:nvSpPr>
          <xdr:cNvPr id="7" name="Shape 31">
            <a:extLst>
              <a:ext uri="{FF2B5EF4-FFF2-40B4-BE49-F238E27FC236}">
                <a16:creationId xmlns:a16="http://schemas.microsoft.com/office/drawing/2014/main" id="{DE4BF84E-0F39-2937-BB6B-BAECA9861E41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53975" y="0"/>
                </a:move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close/>
              </a:path>
            </a:pathLst>
          </a:custGeom>
          <a:solidFill>
            <a:srgbClr val="231F20"/>
          </a:solidFill>
        </xdr:spPr>
      </xdr:sp>
      <xdr:sp macro="" textlink="">
        <xdr:nvSpPr>
          <xdr:cNvPr id="8" name="Shape 32">
            <a:extLst>
              <a:ext uri="{FF2B5EF4-FFF2-40B4-BE49-F238E27FC236}">
                <a16:creationId xmlns:a16="http://schemas.microsoft.com/office/drawing/2014/main" id="{BE7E4AE3-F5DE-970C-B690-DA9C07D0D1E9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107950" y="53975"/>
                </a:move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oneCellAnchor>
  <xdr:oneCellAnchor>
    <xdr:from>
      <xdr:col>0</xdr:col>
      <xdr:colOff>175532</xdr:colOff>
      <xdr:row>22</xdr:row>
      <xdr:rowOff>96611</xdr:rowOff>
    </xdr:from>
    <xdr:ext cx="114300" cy="117474"/>
    <xdr:grpSp>
      <xdr:nvGrpSpPr>
        <xdr:cNvPr id="9" name="Group 34">
          <a:extLst>
            <a:ext uri="{FF2B5EF4-FFF2-40B4-BE49-F238E27FC236}">
              <a16:creationId xmlns:a16="http://schemas.microsoft.com/office/drawing/2014/main" id="{E9E6700F-C47B-4519-BDD9-6B9B99B29995}"/>
            </a:ext>
          </a:extLst>
        </xdr:cNvPr>
        <xdr:cNvGrpSpPr/>
      </xdr:nvGrpSpPr>
      <xdr:grpSpPr>
        <a:xfrm>
          <a:off x="175532" y="6464754"/>
          <a:ext cx="114300" cy="117474"/>
          <a:chOff x="0" y="0"/>
          <a:chExt cx="114300" cy="114300"/>
        </a:xfrm>
      </xdr:grpSpPr>
      <xdr:sp macro="" textlink="">
        <xdr:nvSpPr>
          <xdr:cNvPr id="10" name="Shape 35">
            <a:extLst>
              <a:ext uri="{FF2B5EF4-FFF2-40B4-BE49-F238E27FC236}">
                <a16:creationId xmlns:a16="http://schemas.microsoft.com/office/drawing/2014/main" id="{40D3EE14-C07E-C514-7DFB-4850ED6F0495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53975" y="0"/>
                </a:move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close/>
              </a:path>
            </a:pathLst>
          </a:custGeom>
          <a:solidFill>
            <a:srgbClr val="231F20"/>
          </a:solidFill>
        </xdr:spPr>
      </xdr:sp>
      <xdr:sp macro="" textlink="">
        <xdr:nvSpPr>
          <xdr:cNvPr id="11" name="Shape 36">
            <a:extLst>
              <a:ext uri="{FF2B5EF4-FFF2-40B4-BE49-F238E27FC236}">
                <a16:creationId xmlns:a16="http://schemas.microsoft.com/office/drawing/2014/main" id="{6B1F0755-3522-677D-32AF-99BA3826BFFA}"/>
              </a:ext>
            </a:extLst>
          </xdr:cNvPr>
          <xdr:cNvSpPr/>
        </xdr:nvSpPr>
        <xdr:spPr>
          <a:xfrm>
            <a:off x="3175" y="3175"/>
            <a:ext cx="107950" cy="107950"/>
          </a:xfrm>
          <a:custGeom>
            <a:avLst/>
            <a:gdLst/>
            <a:ahLst/>
            <a:cxnLst/>
            <a:rect l="0" t="0" r="0" b="0"/>
            <a:pathLst>
              <a:path w="107950" h="107950">
                <a:moveTo>
                  <a:pt x="107950" y="53975"/>
                </a:moveTo>
                <a:lnTo>
                  <a:pt x="103708" y="32966"/>
                </a:lnTo>
                <a:lnTo>
                  <a:pt x="92140" y="15809"/>
                </a:lnTo>
                <a:lnTo>
                  <a:pt x="74983" y="4241"/>
                </a:lnTo>
                <a:lnTo>
                  <a:pt x="53975" y="0"/>
                </a:lnTo>
                <a:lnTo>
                  <a:pt x="32966" y="4241"/>
                </a:lnTo>
                <a:lnTo>
                  <a:pt x="15809" y="15809"/>
                </a:lnTo>
                <a:lnTo>
                  <a:pt x="4241" y="32966"/>
                </a:lnTo>
                <a:lnTo>
                  <a:pt x="0" y="53975"/>
                </a:lnTo>
                <a:lnTo>
                  <a:pt x="4241" y="74983"/>
                </a:lnTo>
                <a:lnTo>
                  <a:pt x="15809" y="92140"/>
                </a:lnTo>
                <a:lnTo>
                  <a:pt x="32966" y="103708"/>
                </a:lnTo>
                <a:lnTo>
                  <a:pt x="53975" y="107950"/>
                </a:lnTo>
                <a:lnTo>
                  <a:pt x="74983" y="103708"/>
                </a:lnTo>
                <a:lnTo>
                  <a:pt x="92140" y="92140"/>
                </a:lnTo>
                <a:lnTo>
                  <a:pt x="103708" y="74983"/>
                </a:lnTo>
                <a:lnTo>
                  <a:pt x="107950" y="53975"/>
                </a:lnTo>
              </a:path>
            </a:pathLst>
          </a:custGeom>
          <a:ln w="6350">
            <a:solidFill>
              <a:srgbClr val="231F20"/>
            </a:solidFill>
          </a:ln>
        </xdr:spPr>
      </xdr:sp>
    </xdr:grpSp>
    <xdr:clientData/>
  </xdr:oneCellAnchor>
  <xdr:oneCellAnchor>
    <xdr:from>
      <xdr:col>0</xdr:col>
      <xdr:colOff>68036</xdr:colOff>
      <xdr:row>21</xdr:row>
      <xdr:rowOff>108857</xdr:rowOff>
    </xdr:from>
    <xdr:ext cx="179615" cy="179614"/>
    <xdr:pic>
      <xdr:nvPicPr>
        <xdr:cNvPr id="12" name="image1.png">
          <a:extLst>
            <a:ext uri="{FF2B5EF4-FFF2-40B4-BE49-F238E27FC236}">
              <a16:creationId xmlns:a16="http://schemas.microsoft.com/office/drawing/2014/main" id="{DE2B0E17-9F8D-44CA-91F4-61D29167E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6" y="6071507"/>
          <a:ext cx="179615" cy="179614"/>
        </a:xfrm>
        <a:prstGeom prst="rect">
          <a:avLst/>
        </a:prstGeom>
      </xdr:spPr>
    </xdr:pic>
    <xdr:clientData/>
  </xdr:oneCellAnchor>
  <xdr:twoCellAnchor editAs="oneCell">
    <xdr:from>
      <xdr:col>0</xdr:col>
      <xdr:colOff>503464</xdr:colOff>
      <xdr:row>0</xdr:row>
      <xdr:rowOff>136071</xdr:rowOff>
    </xdr:from>
    <xdr:to>
      <xdr:col>2</xdr:col>
      <xdr:colOff>326572</xdr:colOff>
      <xdr:row>2</xdr:row>
      <xdr:rowOff>143534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D4678E5-6E51-4C0D-AFA8-3B45A7483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464" y="136071"/>
          <a:ext cx="632733" cy="7694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1"/>
  <sheetViews>
    <sheetView tabSelected="1" zoomScale="70" zoomScaleNormal="70" workbookViewId="0">
      <selection activeCell="E9" sqref="E9"/>
    </sheetView>
  </sheetViews>
  <sheetFormatPr defaultColWidth="9.140625" defaultRowHeight="12.75"/>
  <cols>
    <col min="1" max="1" width="10.85546875" style="1" customWidth="1"/>
    <col min="2" max="2" width="1.28515625" style="1" customWidth="1"/>
    <col min="3" max="3" width="13.85546875" style="1" customWidth="1"/>
    <col min="4" max="4" width="1" style="1" customWidth="1"/>
    <col min="5" max="5" width="11.140625" style="1" customWidth="1"/>
    <col min="6" max="6" width="1" style="1" customWidth="1"/>
    <col min="7" max="7" width="26.42578125" style="1" customWidth="1"/>
    <col min="8" max="8" width="8.42578125" style="1" customWidth="1"/>
    <col min="9" max="9" width="1" style="1" customWidth="1"/>
    <col min="10" max="10" width="18.140625" style="1" customWidth="1"/>
    <col min="11" max="11" width="18.28515625" style="1" customWidth="1"/>
    <col min="12" max="12" width="1" style="1" customWidth="1"/>
    <col min="13" max="13" width="15" style="1" bestFit="1" customWidth="1"/>
    <col min="14" max="14" width="1" style="1" customWidth="1"/>
    <col min="15" max="15" width="24.140625" style="1" customWidth="1"/>
    <col min="16" max="16" width="8" style="1" customWidth="1"/>
    <col min="17" max="16384" width="9.140625" style="1"/>
  </cols>
  <sheetData>
    <row r="1" spans="1:15" ht="30" customHeight="1">
      <c r="A1" s="31" t="s">
        <v>29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s="20" customFormat="1" ht="30" customHeight="1">
      <c r="A2" s="32" t="s">
        <v>20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30" customHeight="1"/>
    <row r="4" spans="1:15" s="2" customFormat="1" ht="30" customHeight="1">
      <c r="A4" s="24" t="s">
        <v>19</v>
      </c>
      <c r="B4" s="24"/>
      <c r="C4" s="24"/>
      <c r="D4" s="17"/>
      <c r="E4" s="33" t="s">
        <v>28</v>
      </c>
      <c r="F4" s="26"/>
      <c r="G4" s="26"/>
      <c r="H4" s="27"/>
      <c r="J4" s="22" t="s">
        <v>23</v>
      </c>
      <c r="K4" s="33" t="s">
        <v>30</v>
      </c>
      <c r="L4" s="26"/>
      <c r="M4" s="26"/>
      <c r="N4" s="26"/>
      <c r="O4" s="27"/>
    </row>
    <row r="5" spans="1:15" ht="6" customHeight="1"/>
    <row r="6" spans="1:15" s="2" customFormat="1" ht="30" customHeight="1">
      <c r="A6" s="24" t="s">
        <v>18</v>
      </c>
      <c r="B6" s="24"/>
      <c r="C6" s="24"/>
      <c r="D6" s="17"/>
      <c r="E6" s="25">
        <f ca="1">NOW()</f>
        <v>46119.416926041667</v>
      </c>
      <c r="F6" s="26"/>
      <c r="G6" s="26"/>
      <c r="H6" s="27"/>
      <c r="J6" s="22" t="s">
        <v>24</v>
      </c>
      <c r="K6" s="28">
        <f ca="1">NOW()</f>
        <v>46119.416926041667</v>
      </c>
      <c r="L6" s="29"/>
      <c r="M6" s="29"/>
      <c r="N6" s="29"/>
      <c r="O6" s="30"/>
    </row>
    <row r="7" spans="1:15" ht="6" customHeight="1"/>
    <row r="8" spans="1:15" s="2" customFormat="1" ht="30" customHeight="1">
      <c r="A8" s="22" t="s">
        <v>21</v>
      </c>
      <c r="B8" s="19"/>
      <c r="C8" s="19"/>
      <c r="D8" s="19"/>
      <c r="E8" s="35" t="s">
        <v>61</v>
      </c>
      <c r="F8" s="36"/>
      <c r="G8" s="36"/>
      <c r="H8" s="36"/>
      <c r="I8" s="36"/>
      <c r="J8" s="36"/>
      <c r="K8" s="36"/>
      <c r="L8" s="36"/>
      <c r="M8" s="36"/>
      <c r="N8" s="36"/>
      <c r="O8" s="37"/>
    </row>
    <row r="9" spans="1:15" ht="6" customHeight="1"/>
    <row r="10" spans="1:15" s="2" customFormat="1" ht="30" customHeight="1">
      <c r="A10" s="22" t="s">
        <v>22</v>
      </c>
      <c r="B10" s="19"/>
      <c r="C10" s="19"/>
      <c r="D10" s="19"/>
      <c r="E10" s="38" t="s">
        <v>46</v>
      </c>
      <c r="F10" s="39"/>
      <c r="G10" s="39"/>
      <c r="H10" s="39"/>
      <c r="I10" s="39"/>
      <c r="J10" s="40"/>
      <c r="K10" s="24" t="s">
        <v>17</v>
      </c>
      <c r="L10" s="24"/>
      <c r="M10" s="24"/>
      <c r="N10" s="17"/>
      <c r="O10" s="18">
        <f>SUM(O27:O37)</f>
        <v>411.56</v>
      </c>
    </row>
    <row r="12" spans="1:15" s="2" customFormat="1" ht="30" customHeight="1" thickBot="1">
      <c r="A12" s="21" t="s">
        <v>25</v>
      </c>
      <c r="B12" s="17"/>
      <c r="H12" s="41"/>
      <c r="I12" s="41"/>
      <c r="J12" s="41"/>
      <c r="K12" s="41"/>
      <c r="L12" s="41"/>
      <c r="M12" s="41"/>
      <c r="N12" s="41"/>
      <c r="O12" s="41"/>
    </row>
    <row r="14" spans="1:15" s="2" customFormat="1" ht="30" customHeight="1" thickBot="1">
      <c r="A14" s="24" t="s">
        <v>26</v>
      </c>
      <c r="B14" s="24"/>
      <c r="C14" s="24"/>
      <c r="D14" s="24"/>
      <c r="E14" s="24"/>
      <c r="F14" s="24"/>
      <c r="G14" s="24"/>
      <c r="H14" s="41"/>
      <c r="I14" s="41"/>
      <c r="J14" s="41"/>
      <c r="K14" s="41"/>
      <c r="L14" s="41"/>
      <c r="M14" s="41"/>
      <c r="N14" s="41"/>
      <c r="O14" s="41"/>
    </row>
    <row r="16" spans="1:15" s="2" customFormat="1" ht="30" customHeight="1" thickBot="1">
      <c r="A16" s="21" t="s">
        <v>27</v>
      </c>
      <c r="B16" s="17"/>
      <c r="C16" s="17"/>
      <c r="D16" s="17"/>
      <c r="E16" s="17"/>
      <c r="F16" s="17"/>
      <c r="G16" s="17"/>
      <c r="H16" s="16"/>
      <c r="I16" s="41"/>
      <c r="J16" s="41"/>
      <c r="K16" s="41"/>
      <c r="L16" s="41"/>
      <c r="M16" s="41"/>
      <c r="N16" s="41"/>
      <c r="O16" s="41"/>
    </row>
    <row r="17" spans="1:15" ht="18.75" customHeight="1"/>
    <row r="18" spans="1:15" s="2" customFormat="1" ht="30" customHeight="1">
      <c r="A18" s="4" t="s">
        <v>16</v>
      </c>
      <c r="B18" s="4"/>
      <c r="C18" s="4"/>
      <c r="D18" s="4"/>
    </row>
    <row r="19" spans="1:15" s="2" customFormat="1" ht="24.75" customHeight="1">
      <c r="A19" s="42" t="s">
        <v>15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</row>
    <row r="20" spans="1:15" s="2" customFormat="1" ht="24.75" customHeight="1">
      <c r="A20" s="42" t="s">
        <v>14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</row>
    <row r="21" spans="1:15" ht="15.75" customHeight="1"/>
    <row r="22" spans="1:15" s="2" customFormat="1" ht="30" customHeight="1">
      <c r="A22" s="3" t="s">
        <v>13</v>
      </c>
      <c r="B22" s="3"/>
      <c r="C22" s="3"/>
      <c r="D22" s="3"/>
    </row>
    <row r="23" spans="1:15" s="2" customFormat="1" ht="39.75" customHeight="1">
      <c r="A23" s="43" t="s">
        <v>12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</row>
    <row r="24" spans="1:15" ht="41.2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5" s="2" customFormat="1" ht="19.5">
      <c r="A25" s="14" t="s">
        <v>11</v>
      </c>
      <c r="B25" s="14"/>
      <c r="C25" s="14" t="s">
        <v>10</v>
      </c>
      <c r="E25" s="45" t="s">
        <v>0</v>
      </c>
      <c r="F25" s="45"/>
      <c r="G25" s="45"/>
      <c r="H25" s="45"/>
      <c r="I25" s="45"/>
      <c r="J25" s="45"/>
      <c r="K25" s="45"/>
      <c r="L25" s="14"/>
      <c r="M25" s="14" t="s">
        <v>9</v>
      </c>
      <c r="N25" s="14"/>
      <c r="O25" s="14" t="s">
        <v>8</v>
      </c>
    </row>
    <row r="26" spans="1:15" ht="6" customHeight="1"/>
    <row r="27" spans="1:15" ht="30" customHeight="1">
      <c r="A27" s="8">
        <v>1</v>
      </c>
      <c r="C27" s="8"/>
      <c r="E27" s="34" t="s">
        <v>60</v>
      </c>
      <c r="F27" s="34"/>
      <c r="G27" s="34"/>
      <c r="H27" s="34"/>
      <c r="I27" s="34"/>
      <c r="J27" s="34"/>
      <c r="K27" s="34"/>
      <c r="L27" s="34"/>
      <c r="M27" s="11">
        <v>345</v>
      </c>
      <c r="N27" s="10"/>
      <c r="O27" s="13">
        <f>M27*A27</f>
        <v>345</v>
      </c>
    </row>
    <row r="28" spans="1:15" ht="6" customHeight="1">
      <c r="C28" s="6"/>
      <c r="E28" s="6"/>
      <c r="F28" s="6"/>
      <c r="G28" s="6"/>
      <c r="H28" s="6"/>
      <c r="I28" s="6"/>
      <c r="J28" s="6"/>
      <c r="K28" s="6"/>
      <c r="L28" s="6"/>
      <c r="M28" s="10"/>
      <c r="N28" s="10"/>
      <c r="O28" s="10"/>
    </row>
    <row r="29" spans="1:15" ht="30" customHeight="1">
      <c r="A29" s="8">
        <v>2</v>
      </c>
      <c r="C29" s="8"/>
      <c r="E29" s="34" t="s">
        <v>59</v>
      </c>
      <c r="F29" s="34"/>
      <c r="G29" s="34"/>
      <c r="H29" s="34"/>
      <c r="I29" s="34"/>
      <c r="J29" s="34"/>
      <c r="K29" s="34"/>
      <c r="L29" s="34"/>
      <c r="M29" s="11">
        <v>33.28</v>
      </c>
      <c r="N29" s="10"/>
      <c r="O29" s="13">
        <f>M29*A29</f>
        <v>66.56</v>
      </c>
    </row>
    <row r="30" spans="1:15" ht="6" customHeight="1">
      <c r="C30" s="6"/>
      <c r="E30" s="6"/>
      <c r="F30" s="6"/>
      <c r="G30" s="6"/>
      <c r="H30" s="6"/>
      <c r="I30" s="6"/>
      <c r="J30" s="6"/>
      <c r="K30" s="6"/>
      <c r="L30" s="6"/>
      <c r="M30" s="12"/>
      <c r="N30" s="10"/>
      <c r="O30" s="10"/>
    </row>
    <row r="31" spans="1:15" ht="30" customHeight="1">
      <c r="A31" s="8"/>
      <c r="C31" s="8"/>
      <c r="E31" s="34"/>
      <c r="F31" s="34"/>
      <c r="G31" s="34"/>
      <c r="H31" s="34"/>
      <c r="I31" s="34"/>
      <c r="J31" s="34"/>
      <c r="K31" s="34"/>
      <c r="L31" s="34"/>
      <c r="M31" s="11"/>
      <c r="N31" s="10"/>
      <c r="O31" s="13">
        <f>M31*A31</f>
        <v>0</v>
      </c>
    </row>
    <row r="32" spans="1:15" ht="6" customHeight="1">
      <c r="C32" s="6"/>
      <c r="E32" s="6"/>
      <c r="F32" s="6"/>
      <c r="G32" s="6"/>
      <c r="H32" s="6"/>
      <c r="I32" s="6"/>
      <c r="J32" s="6"/>
      <c r="K32" s="6"/>
      <c r="L32" s="6"/>
      <c r="M32" s="10"/>
      <c r="N32" s="10"/>
      <c r="O32" s="10"/>
    </row>
    <row r="33" spans="1:15" ht="30" customHeight="1">
      <c r="A33" s="8"/>
      <c r="C33" s="8"/>
      <c r="E33" s="34"/>
      <c r="F33" s="34"/>
      <c r="G33" s="34"/>
      <c r="H33" s="34"/>
      <c r="I33" s="34"/>
      <c r="J33" s="34"/>
      <c r="K33" s="34"/>
      <c r="L33" s="34"/>
      <c r="M33" s="11"/>
      <c r="N33" s="10"/>
      <c r="O33" s="9">
        <f>M33*A33</f>
        <v>0</v>
      </c>
    </row>
    <row r="34" spans="1:15" ht="6" customHeight="1">
      <c r="C34" s="6"/>
      <c r="E34" s="6"/>
      <c r="F34" s="6"/>
      <c r="G34" s="6"/>
      <c r="H34" s="6"/>
      <c r="I34" s="6"/>
      <c r="J34" s="6"/>
      <c r="K34" s="6"/>
      <c r="L34" s="6"/>
    </row>
    <row r="35" spans="1:15" ht="30" customHeight="1">
      <c r="A35" s="8"/>
      <c r="C35" s="8"/>
      <c r="E35" s="33"/>
      <c r="F35" s="26"/>
      <c r="G35" s="26"/>
      <c r="H35" s="26"/>
      <c r="I35" s="26"/>
      <c r="J35" s="26"/>
      <c r="K35" s="27"/>
      <c r="L35" s="6"/>
      <c r="M35" s="9"/>
      <c r="O35" s="9">
        <f>M35*A35</f>
        <v>0</v>
      </c>
    </row>
    <row r="36" spans="1:15" ht="6" customHeight="1">
      <c r="C36" s="6"/>
      <c r="E36" s="6"/>
      <c r="F36" s="6"/>
      <c r="G36" s="6"/>
      <c r="H36" s="6"/>
      <c r="I36" s="6"/>
      <c r="J36" s="6"/>
      <c r="K36" s="6"/>
      <c r="L36" s="6"/>
    </row>
    <row r="37" spans="1:15" ht="30" customHeight="1">
      <c r="A37" s="8"/>
      <c r="C37" s="7"/>
      <c r="E37" s="33"/>
      <c r="F37" s="26"/>
      <c r="G37" s="26"/>
      <c r="H37" s="26"/>
      <c r="I37" s="26"/>
      <c r="J37" s="26"/>
      <c r="K37" s="27"/>
      <c r="L37" s="6"/>
      <c r="M37" s="5"/>
      <c r="O37" s="9">
        <f>M37*A37</f>
        <v>0</v>
      </c>
    </row>
    <row r="38" spans="1:15" ht="36.75" customHeight="1"/>
    <row r="39" spans="1:15" s="2" customFormat="1" ht="30" customHeight="1">
      <c r="A39" s="3" t="s">
        <v>7</v>
      </c>
      <c r="B39" s="3"/>
      <c r="C39" s="3"/>
      <c r="D39" s="46" t="s">
        <v>49</v>
      </c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8"/>
    </row>
    <row r="40" spans="1:15" s="2" customFormat="1" ht="12.75" customHeight="1"/>
    <row r="41" spans="1:15" s="2" customFormat="1" ht="30" customHeight="1">
      <c r="A41" s="4" t="s">
        <v>6</v>
      </c>
      <c r="B41" s="3"/>
      <c r="C41" s="3"/>
      <c r="D41" s="46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8"/>
    </row>
    <row r="42" spans="1:15" s="2" customFormat="1" ht="12.75" customHeight="1"/>
    <row r="43" spans="1:15" s="2" customFormat="1" ht="30" customHeight="1">
      <c r="A43" s="3" t="s">
        <v>5</v>
      </c>
      <c r="B43" s="3"/>
      <c r="C43" s="3"/>
      <c r="D43" s="46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8"/>
    </row>
    <row r="44" spans="1:15" s="2" customFormat="1" ht="12.75" customHeight="1"/>
    <row r="45" spans="1:15" s="2" customFormat="1" ht="30" customHeight="1">
      <c r="A45" s="4" t="s">
        <v>4</v>
      </c>
      <c r="B45" s="4"/>
      <c r="C45" s="3"/>
      <c r="D45" s="46"/>
      <c r="E45" s="47"/>
      <c r="F45" s="47"/>
      <c r="G45" s="48"/>
      <c r="H45" s="54" t="s">
        <v>3</v>
      </c>
      <c r="I45" s="55"/>
      <c r="J45" s="55"/>
      <c r="K45" s="56"/>
      <c r="L45" s="57"/>
      <c r="M45" s="57"/>
      <c r="N45" s="57"/>
      <c r="O45" s="58"/>
    </row>
    <row r="46" spans="1:15" s="2" customFormat="1" ht="12.75" customHeight="1"/>
    <row r="47" spans="1:15" s="2" customFormat="1" ht="30" customHeight="1">
      <c r="A47" s="3" t="s">
        <v>2</v>
      </c>
      <c r="B47" s="3"/>
      <c r="C47" s="3"/>
      <c r="D47" s="46"/>
      <c r="E47" s="47"/>
      <c r="F47" s="47"/>
      <c r="G47" s="48"/>
      <c r="H47" s="49" t="s">
        <v>1</v>
      </c>
      <c r="I47" s="50"/>
      <c r="J47" s="51"/>
      <c r="K47" s="52"/>
      <c r="L47" s="52"/>
      <c r="M47" s="52"/>
      <c r="N47" s="52"/>
      <c r="O47" s="53"/>
    </row>
    <row r="48" spans="1:15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</sheetData>
  <mergeCells count="34">
    <mergeCell ref="D47:G47"/>
    <mergeCell ref="H47:I47"/>
    <mergeCell ref="J47:O47"/>
    <mergeCell ref="E29:L29"/>
    <mergeCell ref="E31:L31"/>
    <mergeCell ref="E33:L33"/>
    <mergeCell ref="E35:K35"/>
    <mergeCell ref="E37:K37"/>
    <mergeCell ref="D39:O39"/>
    <mergeCell ref="D41:O41"/>
    <mergeCell ref="D43:O43"/>
    <mergeCell ref="D45:G45"/>
    <mergeCell ref="H45:J45"/>
    <mergeCell ref="K45:O45"/>
    <mergeCell ref="E27:L27"/>
    <mergeCell ref="E8:O8"/>
    <mergeCell ref="E10:J10"/>
    <mergeCell ref="K10:M10"/>
    <mergeCell ref="H12:O12"/>
    <mergeCell ref="A14:G14"/>
    <mergeCell ref="H14:O14"/>
    <mergeCell ref="I16:O16"/>
    <mergeCell ref="A19:O19"/>
    <mergeCell ref="A20:O20"/>
    <mergeCell ref="A23:O23"/>
    <mergeCell ref="E25:K25"/>
    <mergeCell ref="A6:C6"/>
    <mergeCell ref="E6:H6"/>
    <mergeCell ref="K6:O6"/>
    <mergeCell ref="A1:O1"/>
    <mergeCell ref="A2:O2"/>
    <mergeCell ref="A4:C4"/>
    <mergeCell ref="E4:H4"/>
    <mergeCell ref="K4:O4"/>
  </mergeCells>
  <pageMargins left="0.25" right="0.25" top="0.75" bottom="0.75" header="0.3" footer="0.3"/>
  <pageSetup scale="66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0B2A38-F3CC-4117-AB16-D8DBFAEEED79}">
          <x14:formula1>
            <xm:f>'Account List'!$A$1:$A$11</xm:f>
          </x14:formula1>
          <xm:sqref>E10:J10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A159-5EC1-4C8E-BB6B-DABE87C85E21}">
  <dimension ref="A1:AD61"/>
  <sheetViews>
    <sheetView zoomScale="70" zoomScaleNormal="70" workbookViewId="0">
      <selection activeCell="X32" sqref="X32"/>
    </sheetView>
  </sheetViews>
  <sheetFormatPr defaultColWidth="9.140625" defaultRowHeight="12.75"/>
  <cols>
    <col min="1" max="1" width="10.85546875" style="1" customWidth="1"/>
    <col min="2" max="2" width="1.28515625" style="1" customWidth="1"/>
    <col min="3" max="3" width="13.85546875" style="1" customWidth="1"/>
    <col min="4" max="4" width="1" style="1" customWidth="1"/>
    <col min="5" max="5" width="11.140625" style="1" customWidth="1"/>
    <col min="6" max="6" width="1" style="1" customWidth="1"/>
    <col min="7" max="7" width="26.42578125" style="1" customWidth="1"/>
    <col min="8" max="8" width="8.42578125" style="1" customWidth="1"/>
    <col min="9" max="9" width="1" style="1" customWidth="1"/>
    <col min="10" max="10" width="18.140625" style="1" customWidth="1"/>
    <col min="11" max="11" width="18.28515625" style="1" customWidth="1"/>
    <col min="12" max="12" width="1" style="1" customWidth="1"/>
    <col min="13" max="13" width="13.85546875" style="1" bestFit="1" customWidth="1"/>
    <col min="14" max="14" width="1" style="1" customWidth="1"/>
    <col min="15" max="15" width="24.140625" style="1" customWidth="1"/>
    <col min="16" max="16" width="8" style="1" customWidth="1"/>
    <col min="17" max="16384" width="9.140625" style="1"/>
  </cols>
  <sheetData>
    <row r="1" spans="1:15" ht="30" customHeight="1">
      <c r="A1" s="31" t="s">
        <v>29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s="20" customFormat="1" ht="30" customHeight="1">
      <c r="A2" s="32" t="s">
        <v>20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30" customHeight="1"/>
    <row r="4" spans="1:15" s="2" customFormat="1" ht="30" customHeight="1">
      <c r="A4" s="24" t="s">
        <v>19</v>
      </c>
      <c r="B4" s="24"/>
      <c r="C4" s="24"/>
      <c r="D4" s="17"/>
      <c r="E4" s="33" t="s">
        <v>28</v>
      </c>
      <c r="F4" s="26"/>
      <c r="G4" s="26"/>
      <c r="H4" s="27"/>
      <c r="J4" s="22" t="s">
        <v>23</v>
      </c>
      <c r="K4" s="33" t="s">
        <v>31</v>
      </c>
      <c r="L4" s="26"/>
      <c r="M4" s="26"/>
      <c r="N4" s="26"/>
      <c r="O4" s="27"/>
    </row>
    <row r="5" spans="1:15" ht="6" customHeight="1"/>
    <row r="6" spans="1:15" s="2" customFormat="1" ht="30" customHeight="1">
      <c r="A6" s="24" t="s">
        <v>18</v>
      </c>
      <c r="B6" s="24"/>
      <c r="C6" s="24"/>
      <c r="D6" s="17"/>
      <c r="E6" s="25">
        <f ca="1">NOW()</f>
        <v>46119.416926041667</v>
      </c>
      <c r="F6" s="26"/>
      <c r="G6" s="26"/>
      <c r="H6" s="27"/>
      <c r="J6" s="22" t="s">
        <v>24</v>
      </c>
      <c r="K6" s="28">
        <f ca="1">NOW()</f>
        <v>46119.416926041667</v>
      </c>
      <c r="L6" s="29"/>
      <c r="M6" s="29"/>
      <c r="N6" s="29"/>
      <c r="O6" s="30"/>
    </row>
    <row r="7" spans="1:15" ht="6" customHeight="1"/>
    <row r="8" spans="1:15" s="2" customFormat="1" ht="30" customHeight="1">
      <c r="A8" s="22" t="s">
        <v>21</v>
      </c>
      <c r="B8" s="19"/>
      <c r="C8" s="19"/>
      <c r="D8" s="19"/>
      <c r="E8" s="35" t="s">
        <v>56</v>
      </c>
      <c r="F8" s="36"/>
      <c r="G8" s="36"/>
      <c r="H8" s="36"/>
      <c r="I8" s="36"/>
      <c r="J8" s="36"/>
      <c r="K8" s="36"/>
      <c r="L8" s="36"/>
      <c r="M8" s="36"/>
      <c r="N8" s="36"/>
      <c r="O8" s="37"/>
    </row>
    <row r="9" spans="1:15" ht="6" customHeight="1"/>
    <row r="10" spans="1:15" s="2" customFormat="1" ht="30" customHeight="1">
      <c r="A10" s="22" t="s">
        <v>22</v>
      </c>
      <c r="B10" s="19"/>
      <c r="C10" s="19"/>
      <c r="D10" s="19"/>
      <c r="E10" s="38" t="s">
        <v>32</v>
      </c>
      <c r="F10" s="39"/>
      <c r="G10" s="39"/>
      <c r="H10" s="39"/>
      <c r="I10" s="39"/>
      <c r="J10" s="40"/>
      <c r="K10" s="24" t="s">
        <v>17</v>
      </c>
      <c r="L10" s="24"/>
      <c r="M10" s="24"/>
      <c r="N10" s="17"/>
      <c r="O10" s="18">
        <f>SUM(O27:O37)</f>
        <v>147.96</v>
      </c>
    </row>
    <row r="12" spans="1:15" s="2" customFormat="1" ht="30" customHeight="1" thickBot="1">
      <c r="A12" s="21" t="s">
        <v>25</v>
      </c>
      <c r="B12" s="17"/>
      <c r="H12" s="41"/>
      <c r="I12" s="41"/>
      <c r="J12" s="41"/>
      <c r="K12" s="41"/>
      <c r="L12" s="41"/>
      <c r="M12" s="41"/>
      <c r="N12" s="41"/>
      <c r="O12" s="41"/>
    </row>
    <row r="14" spans="1:15" s="2" customFormat="1" ht="30" customHeight="1" thickBot="1">
      <c r="A14" s="24" t="s">
        <v>26</v>
      </c>
      <c r="B14" s="24"/>
      <c r="C14" s="24"/>
      <c r="D14" s="24"/>
      <c r="E14" s="24"/>
      <c r="F14" s="24"/>
      <c r="G14" s="24"/>
      <c r="H14" s="41"/>
      <c r="I14" s="41"/>
      <c r="J14" s="41"/>
      <c r="K14" s="41"/>
      <c r="L14" s="41"/>
      <c r="M14" s="41"/>
      <c r="N14" s="41"/>
      <c r="O14" s="41"/>
    </row>
    <row r="16" spans="1:15" s="2" customFormat="1" ht="30" customHeight="1" thickBot="1">
      <c r="A16" s="21" t="s">
        <v>27</v>
      </c>
      <c r="B16" s="17"/>
      <c r="C16" s="17"/>
      <c r="D16" s="17"/>
      <c r="E16" s="17"/>
      <c r="F16" s="17"/>
      <c r="G16" s="17"/>
      <c r="H16" s="16"/>
      <c r="I16" s="41"/>
      <c r="J16" s="41"/>
      <c r="K16" s="41"/>
      <c r="L16" s="41"/>
      <c r="M16" s="41"/>
      <c r="N16" s="41"/>
      <c r="O16" s="41"/>
    </row>
    <row r="17" spans="1:30" ht="18.75" customHeight="1"/>
    <row r="18" spans="1:30" s="2" customFormat="1" ht="30" customHeight="1">
      <c r="A18" s="4" t="s">
        <v>16</v>
      </c>
      <c r="B18" s="4"/>
      <c r="C18" s="4"/>
      <c r="D18" s="4"/>
    </row>
    <row r="19" spans="1:30" s="2" customFormat="1" ht="24.75" customHeight="1">
      <c r="A19" s="42" t="s">
        <v>15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</row>
    <row r="20" spans="1:30" s="2" customFormat="1" ht="24.75" customHeight="1">
      <c r="A20" s="42" t="s">
        <v>14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</row>
    <row r="21" spans="1:30" ht="15" customHeight="1"/>
    <row r="22" spans="1:30" s="2" customFormat="1" ht="30" customHeight="1">
      <c r="A22" s="3" t="s">
        <v>13</v>
      </c>
      <c r="B22" s="3"/>
      <c r="C22" s="3"/>
      <c r="D22" s="3"/>
    </row>
    <row r="23" spans="1:30" s="2" customFormat="1" ht="39.75" customHeight="1">
      <c r="A23" s="43" t="s">
        <v>12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</row>
    <row r="24" spans="1:30" ht="41.2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AD24" s="23"/>
    </row>
    <row r="25" spans="1:30" s="2" customFormat="1" ht="19.5">
      <c r="A25" s="14" t="s">
        <v>11</v>
      </c>
      <c r="B25" s="14"/>
      <c r="C25" s="14" t="s">
        <v>10</v>
      </c>
      <c r="E25" s="45" t="s">
        <v>0</v>
      </c>
      <c r="F25" s="45"/>
      <c r="G25" s="45"/>
      <c r="H25" s="45"/>
      <c r="I25" s="45"/>
      <c r="J25" s="45"/>
      <c r="K25" s="45"/>
      <c r="L25" s="14"/>
      <c r="M25" s="14" t="s">
        <v>9</v>
      </c>
      <c r="N25" s="14"/>
      <c r="O25" s="14" t="s">
        <v>8</v>
      </c>
      <c r="AD25" s="23"/>
    </row>
    <row r="26" spans="1:30" ht="6" customHeight="1">
      <c r="AD26" s="23"/>
    </row>
    <row r="27" spans="1:30" ht="30" customHeight="1">
      <c r="A27" s="8">
        <v>2</v>
      </c>
      <c r="C27" s="8"/>
      <c r="E27" s="34" t="s">
        <v>57</v>
      </c>
      <c r="F27" s="34"/>
      <c r="G27" s="34"/>
      <c r="H27" s="34"/>
      <c r="I27" s="34"/>
      <c r="J27" s="34"/>
      <c r="K27" s="34"/>
      <c r="L27" s="34"/>
      <c r="M27" s="11">
        <v>33.99</v>
      </c>
      <c r="N27" s="10"/>
      <c r="O27" s="13">
        <f>M27*A27</f>
        <v>67.98</v>
      </c>
      <c r="AD27" s="23"/>
    </row>
    <row r="28" spans="1:30" ht="6" customHeight="1">
      <c r="C28" s="6"/>
      <c r="E28" s="6"/>
      <c r="F28" s="6"/>
      <c r="G28" s="6"/>
      <c r="H28" s="6"/>
      <c r="I28" s="6"/>
      <c r="J28" s="6"/>
      <c r="K28" s="6"/>
      <c r="L28" s="6"/>
      <c r="M28" s="10"/>
      <c r="N28" s="10"/>
      <c r="O28" s="10"/>
      <c r="AD28" s="23"/>
    </row>
    <row r="29" spans="1:30" ht="30" customHeight="1">
      <c r="A29" s="8">
        <v>2</v>
      </c>
      <c r="C29" s="8"/>
      <c r="E29" s="34" t="s">
        <v>58</v>
      </c>
      <c r="F29" s="34"/>
      <c r="G29" s="34"/>
      <c r="H29" s="34"/>
      <c r="I29" s="34"/>
      <c r="J29" s="34"/>
      <c r="K29" s="34"/>
      <c r="L29" s="34"/>
      <c r="M29" s="11">
        <v>39.99</v>
      </c>
      <c r="N29" s="10"/>
      <c r="O29" s="13">
        <f>M29*A29</f>
        <v>79.98</v>
      </c>
      <c r="AD29" s="23"/>
    </row>
    <row r="30" spans="1:30" ht="6" customHeight="1">
      <c r="C30" s="6"/>
      <c r="E30" s="6"/>
      <c r="F30" s="6"/>
      <c r="G30" s="6"/>
      <c r="H30" s="6"/>
      <c r="I30" s="6"/>
      <c r="J30" s="6"/>
      <c r="K30" s="6"/>
      <c r="L30" s="6"/>
      <c r="M30" s="12"/>
      <c r="N30" s="10"/>
      <c r="O30" s="10"/>
      <c r="AD30" s="23"/>
    </row>
    <row r="31" spans="1:30" ht="30" customHeight="1">
      <c r="A31" s="8"/>
      <c r="C31" s="8"/>
      <c r="E31" s="34"/>
      <c r="F31" s="34"/>
      <c r="G31" s="34"/>
      <c r="H31" s="34"/>
      <c r="I31" s="34"/>
      <c r="J31" s="34"/>
      <c r="K31" s="34"/>
      <c r="L31" s="34"/>
      <c r="M31" s="11"/>
      <c r="N31" s="10"/>
      <c r="O31" s="13">
        <f>M31*A31</f>
        <v>0</v>
      </c>
      <c r="AD31" s="23"/>
    </row>
    <row r="32" spans="1:30" ht="6" customHeight="1">
      <c r="C32" s="6"/>
      <c r="E32" s="6"/>
      <c r="F32" s="6"/>
      <c r="G32" s="6"/>
      <c r="H32" s="6"/>
      <c r="I32" s="6"/>
      <c r="J32" s="6"/>
      <c r="K32" s="6"/>
      <c r="L32" s="6"/>
      <c r="M32" s="10"/>
      <c r="N32" s="10"/>
      <c r="O32" s="10"/>
    </row>
    <row r="33" spans="1:15" ht="30" customHeight="1">
      <c r="A33" s="8"/>
      <c r="C33" s="8"/>
      <c r="E33" s="34"/>
      <c r="F33" s="34"/>
      <c r="G33" s="34"/>
      <c r="H33" s="34"/>
      <c r="I33" s="34"/>
      <c r="J33" s="34"/>
      <c r="K33" s="34"/>
      <c r="L33" s="34"/>
      <c r="M33" s="11"/>
      <c r="N33" s="10"/>
      <c r="O33" s="13">
        <f>M33*A33</f>
        <v>0</v>
      </c>
    </row>
    <row r="34" spans="1:15" ht="6" customHeight="1">
      <c r="C34" s="6"/>
      <c r="E34" s="6"/>
      <c r="F34" s="6"/>
      <c r="G34" s="6"/>
      <c r="H34" s="6"/>
      <c r="I34" s="6"/>
      <c r="J34" s="6"/>
      <c r="K34" s="6"/>
      <c r="L34" s="6"/>
    </row>
    <row r="35" spans="1:15" ht="30" customHeight="1">
      <c r="A35" s="8"/>
      <c r="C35" s="8"/>
      <c r="E35" s="33"/>
      <c r="F35" s="26"/>
      <c r="G35" s="26"/>
      <c r="H35" s="26"/>
      <c r="I35" s="26"/>
      <c r="J35" s="26"/>
      <c r="K35" s="27"/>
      <c r="L35" s="6"/>
      <c r="M35" s="9"/>
      <c r="O35" s="13">
        <f>M35*A35</f>
        <v>0</v>
      </c>
    </row>
    <row r="36" spans="1:15" ht="6" customHeight="1">
      <c r="C36" s="6"/>
      <c r="E36" s="6"/>
      <c r="F36" s="6"/>
      <c r="G36" s="6"/>
      <c r="H36" s="6"/>
      <c r="I36" s="6"/>
      <c r="J36" s="6"/>
      <c r="K36" s="6"/>
      <c r="L36" s="6"/>
    </row>
    <row r="37" spans="1:15" ht="30" customHeight="1">
      <c r="A37" s="8"/>
      <c r="C37" s="7"/>
      <c r="E37" s="33"/>
      <c r="F37" s="26"/>
      <c r="G37" s="26"/>
      <c r="H37" s="26"/>
      <c r="I37" s="26"/>
      <c r="J37" s="26"/>
      <c r="K37" s="27"/>
      <c r="L37" s="6"/>
      <c r="M37" s="5"/>
      <c r="O37" s="13">
        <f>M37*A37</f>
        <v>0</v>
      </c>
    </row>
    <row r="38" spans="1:15" ht="36.75" customHeight="1"/>
    <row r="39" spans="1:15" s="2" customFormat="1" ht="30" customHeight="1">
      <c r="A39" s="3" t="s">
        <v>7</v>
      </c>
      <c r="B39" s="3"/>
      <c r="C39" s="3"/>
      <c r="D39" s="46" t="s">
        <v>49</v>
      </c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8"/>
    </row>
    <row r="40" spans="1:15" s="2" customFormat="1" ht="12.75" customHeight="1"/>
    <row r="41" spans="1:15" s="2" customFormat="1" ht="30" customHeight="1">
      <c r="A41" s="4" t="s">
        <v>6</v>
      </c>
      <c r="B41" s="3"/>
      <c r="C41" s="3"/>
      <c r="D41" s="46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8"/>
    </row>
    <row r="42" spans="1:15" s="2" customFormat="1" ht="12.75" customHeight="1"/>
    <row r="43" spans="1:15" s="2" customFormat="1" ht="30" customHeight="1">
      <c r="A43" s="3" t="s">
        <v>5</v>
      </c>
      <c r="B43" s="3"/>
      <c r="C43" s="3"/>
      <c r="D43" s="46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8"/>
    </row>
    <row r="44" spans="1:15" s="2" customFormat="1" ht="12.75" customHeight="1"/>
    <row r="45" spans="1:15" s="2" customFormat="1" ht="30" customHeight="1">
      <c r="A45" s="4" t="s">
        <v>4</v>
      </c>
      <c r="B45" s="4"/>
      <c r="C45" s="3"/>
      <c r="D45" s="46"/>
      <c r="E45" s="47"/>
      <c r="F45" s="47"/>
      <c r="G45" s="48"/>
      <c r="H45" s="54" t="s">
        <v>3</v>
      </c>
      <c r="I45" s="55"/>
      <c r="J45" s="55"/>
      <c r="K45" s="56"/>
      <c r="L45" s="57"/>
      <c r="M45" s="57"/>
      <c r="N45" s="57"/>
      <c r="O45" s="58"/>
    </row>
    <row r="46" spans="1:15" s="2" customFormat="1" ht="12.75" customHeight="1"/>
    <row r="47" spans="1:15" s="2" customFormat="1" ht="30" customHeight="1">
      <c r="A47" s="3" t="s">
        <v>2</v>
      </c>
      <c r="B47" s="3"/>
      <c r="C47" s="3"/>
      <c r="D47" s="46"/>
      <c r="E47" s="47"/>
      <c r="F47" s="47"/>
      <c r="G47" s="48"/>
      <c r="H47" s="49" t="s">
        <v>1</v>
      </c>
      <c r="I47" s="50"/>
      <c r="J47" s="51"/>
      <c r="K47" s="52"/>
      <c r="L47" s="52"/>
      <c r="M47" s="52"/>
      <c r="N47" s="52"/>
      <c r="O47" s="53"/>
    </row>
    <row r="48" spans="1:15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</sheetData>
  <mergeCells count="34">
    <mergeCell ref="D47:G47"/>
    <mergeCell ref="H47:I47"/>
    <mergeCell ref="J47:O47"/>
    <mergeCell ref="E29:L29"/>
    <mergeCell ref="E31:L31"/>
    <mergeCell ref="E33:L33"/>
    <mergeCell ref="E35:K35"/>
    <mergeCell ref="E37:K37"/>
    <mergeCell ref="D39:O39"/>
    <mergeCell ref="D41:O41"/>
    <mergeCell ref="D43:O43"/>
    <mergeCell ref="D45:G45"/>
    <mergeCell ref="H45:J45"/>
    <mergeCell ref="K45:O45"/>
    <mergeCell ref="E27:L27"/>
    <mergeCell ref="E8:O8"/>
    <mergeCell ref="E10:J10"/>
    <mergeCell ref="K10:M10"/>
    <mergeCell ref="H12:O12"/>
    <mergeCell ref="A14:G14"/>
    <mergeCell ref="H14:O14"/>
    <mergeCell ref="I16:O16"/>
    <mergeCell ref="A19:O19"/>
    <mergeCell ref="A20:O20"/>
    <mergeCell ref="A23:O23"/>
    <mergeCell ref="E25:K25"/>
    <mergeCell ref="A6:C6"/>
    <mergeCell ref="E6:H6"/>
    <mergeCell ref="K6:O6"/>
    <mergeCell ref="A1:O1"/>
    <mergeCell ref="A2:O2"/>
    <mergeCell ref="A4:C4"/>
    <mergeCell ref="E4:H4"/>
    <mergeCell ref="K4:O4"/>
  </mergeCells>
  <pageMargins left="0.25" right="0.25" top="0.75" bottom="0.75" header="0.3" footer="0.3"/>
  <pageSetup scale="6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FE40B-C7D8-4260-901F-EF7DD00FBFC6}">
  <dimension ref="A1:O61"/>
  <sheetViews>
    <sheetView zoomScale="70" zoomScaleNormal="70" workbookViewId="0">
      <selection activeCell="D42" sqref="D42"/>
    </sheetView>
  </sheetViews>
  <sheetFormatPr defaultColWidth="9.140625" defaultRowHeight="12.75"/>
  <cols>
    <col min="1" max="1" width="10.85546875" style="1" customWidth="1"/>
    <col min="2" max="2" width="1.28515625" style="1" customWidth="1"/>
    <col min="3" max="3" width="13.85546875" style="1" customWidth="1"/>
    <col min="4" max="4" width="1" style="1" customWidth="1"/>
    <col min="5" max="5" width="11.140625" style="1" customWidth="1"/>
    <col min="6" max="6" width="1" style="1" customWidth="1"/>
    <col min="7" max="7" width="26.42578125" style="1" customWidth="1"/>
    <col min="8" max="8" width="8.42578125" style="1" customWidth="1"/>
    <col min="9" max="9" width="1" style="1" customWidth="1"/>
    <col min="10" max="10" width="18.140625" style="1" customWidth="1"/>
    <col min="11" max="11" width="18.28515625" style="1" customWidth="1"/>
    <col min="12" max="12" width="1" style="1" customWidth="1"/>
    <col min="13" max="13" width="12.5703125" style="1" customWidth="1"/>
    <col min="14" max="14" width="1" style="1" customWidth="1"/>
    <col min="15" max="15" width="24.140625" style="1" customWidth="1"/>
    <col min="16" max="16" width="8" style="1" customWidth="1"/>
    <col min="17" max="16384" width="9.140625" style="1"/>
  </cols>
  <sheetData>
    <row r="1" spans="1:15" ht="30" customHeight="1">
      <c r="A1" s="31" t="s">
        <v>29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s="20" customFormat="1" ht="30" customHeight="1">
      <c r="A2" s="32" t="s">
        <v>20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30" customHeight="1"/>
    <row r="4" spans="1:15" s="2" customFormat="1" ht="30" customHeight="1">
      <c r="A4" s="24" t="s">
        <v>19</v>
      </c>
      <c r="B4" s="24"/>
      <c r="C4" s="24"/>
      <c r="D4" s="17"/>
      <c r="E4" s="33" t="s">
        <v>28</v>
      </c>
      <c r="F4" s="26"/>
      <c r="G4" s="26"/>
      <c r="H4" s="27"/>
      <c r="J4" s="22" t="s">
        <v>23</v>
      </c>
      <c r="K4" s="33" t="s">
        <v>48</v>
      </c>
      <c r="L4" s="26"/>
      <c r="M4" s="26"/>
      <c r="N4" s="26"/>
      <c r="O4" s="27"/>
    </row>
    <row r="5" spans="1:15" ht="6" customHeight="1"/>
    <row r="6" spans="1:15" s="2" customFormat="1" ht="30" customHeight="1">
      <c r="A6" s="24" t="s">
        <v>18</v>
      </c>
      <c r="B6" s="24"/>
      <c r="C6" s="24"/>
      <c r="D6" s="17"/>
      <c r="E6" s="25">
        <f ca="1">NOW()</f>
        <v>46119.416926041667</v>
      </c>
      <c r="F6" s="26"/>
      <c r="G6" s="26"/>
      <c r="H6" s="27"/>
      <c r="J6" s="22" t="s">
        <v>24</v>
      </c>
      <c r="K6" s="28">
        <f ca="1">NOW()</f>
        <v>46119.416926041667</v>
      </c>
      <c r="L6" s="29"/>
      <c r="M6" s="29"/>
      <c r="N6" s="29"/>
      <c r="O6" s="30"/>
    </row>
    <row r="7" spans="1:15" ht="6" customHeight="1"/>
    <row r="8" spans="1:15" s="2" customFormat="1" ht="30" customHeight="1">
      <c r="A8" s="22" t="s">
        <v>21</v>
      </c>
      <c r="B8" s="19"/>
      <c r="C8" s="19"/>
      <c r="D8" s="19"/>
      <c r="E8" s="35" t="s">
        <v>54</v>
      </c>
      <c r="F8" s="36"/>
      <c r="G8" s="36"/>
      <c r="H8" s="36"/>
      <c r="I8" s="36"/>
      <c r="J8" s="36"/>
      <c r="K8" s="36"/>
      <c r="L8" s="36"/>
      <c r="M8" s="36"/>
      <c r="N8" s="36"/>
      <c r="O8" s="37"/>
    </row>
    <row r="9" spans="1:15" ht="6" customHeight="1"/>
    <row r="10" spans="1:15" s="2" customFormat="1" ht="30" customHeight="1">
      <c r="A10" s="22" t="s">
        <v>22</v>
      </c>
      <c r="B10" s="19"/>
      <c r="C10" s="19"/>
      <c r="D10" s="19"/>
      <c r="E10" s="38"/>
      <c r="F10" s="39"/>
      <c r="G10" s="39"/>
      <c r="H10" s="39"/>
      <c r="I10" s="39"/>
      <c r="J10" s="40"/>
      <c r="K10" s="24" t="s">
        <v>17</v>
      </c>
      <c r="L10" s="24"/>
      <c r="M10" s="24"/>
      <c r="N10" s="17"/>
      <c r="O10" s="18">
        <f>SUM(O27:O37)</f>
        <v>131.53</v>
      </c>
    </row>
    <row r="12" spans="1:15" s="2" customFormat="1" ht="30" customHeight="1" thickBot="1">
      <c r="A12" s="21" t="s">
        <v>25</v>
      </c>
      <c r="B12" s="17"/>
      <c r="H12" s="41"/>
      <c r="I12" s="41"/>
      <c r="J12" s="41"/>
      <c r="K12" s="41"/>
      <c r="L12" s="41"/>
      <c r="M12" s="41"/>
      <c r="N12" s="41"/>
      <c r="O12" s="41"/>
    </row>
    <row r="14" spans="1:15" s="2" customFormat="1" ht="30" customHeight="1" thickBot="1">
      <c r="A14" s="24" t="s">
        <v>26</v>
      </c>
      <c r="B14" s="24"/>
      <c r="C14" s="24"/>
      <c r="D14" s="24"/>
      <c r="E14" s="24"/>
      <c r="F14" s="24"/>
      <c r="G14" s="24"/>
      <c r="H14" s="41"/>
      <c r="I14" s="41"/>
      <c r="J14" s="41"/>
      <c r="K14" s="41"/>
      <c r="L14" s="41"/>
      <c r="M14" s="41"/>
      <c r="N14" s="41"/>
      <c r="O14" s="41"/>
    </row>
    <row r="16" spans="1:15" s="2" customFormat="1" ht="30" customHeight="1" thickBot="1">
      <c r="A16" s="21" t="s">
        <v>27</v>
      </c>
      <c r="B16" s="17"/>
      <c r="C16" s="17"/>
      <c r="D16" s="17"/>
      <c r="E16" s="17"/>
      <c r="F16" s="17"/>
      <c r="G16" s="17"/>
      <c r="H16" s="16"/>
      <c r="I16" s="41"/>
      <c r="J16" s="41"/>
      <c r="K16" s="41"/>
      <c r="L16" s="41"/>
      <c r="M16" s="41"/>
      <c r="N16" s="41"/>
      <c r="O16" s="41"/>
    </row>
    <row r="17" spans="1:15" ht="18.75" customHeight="1"/>
    <row r="18" spans="1:15" s="2" customFormat="1" ht="30" customHeight="1">
      <c r="A18" s="4" t="s">
        <v>16</v>
      </c>
      <c r="B18" s="4"/>
      <c r="C18" s="4"/>
      <c r="D18" s="4"/>
    </row>
    <row r="19" spans="1:15" s="2" customFormat="1" ht="24.75" customHeight="1">
      <c r="A19" s="42" t="s">
        <v>15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</row>
    <row r="20" spans="1:15" s="2" customFormat="1" ht="24.75" customHeight="1">
      <c r="A20" s="42" t="s">
        <v>14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</row>
    <row r="21" spans="1:15" ht="15" customHeight="1"/>
    <row r="22" spans="1:15" s="2" customFormat="1" ht="30" customHeight="1">
      <c r="A22" s="3" t="s">
        <v>13</v>
      </c>
      <c r="B22" s="3"/>
      <c r="C22" s="3"/>
      <c r="D22" s="3"/>
    </row>
    <row r="23" spans="1:15" s="2" customFormat="1" ht="39.75" customHeight="1">
      <c r="A23" s="43" t="s">
        <v>12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</row>
    <row r="24" spans="1:15" ht="41.2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5" s="2" customFormat="1" ht="19.5">
      <c r="A25" s="14" t="s">
        <v>11</v>
      </c>
      <c r="B25" s="14"/>
      <c r="C25" s="14" t="s">
        <v>10</v>
      </c>
      <c r="E25" s="45" t="s">
        <v>0</v>
      </c>
      <c r="F25" s="45"/>
      <c r="G25" s="45"/>
      <c r="H25" s="45"/>
      <c r="I25" s="45"/>
      <c r="J25" s="45"/>
      <c r="K25" s="45"/>
      <c r="L25" s="14"/>
      <c r="M25" s="14" t="s">
        <v>9</v>
      </c>
      <c r="N25" s="14"/>
      <c r="O25" s="14" t="s">
        <v>8</v>
      </c>
    </row>
    <row r="26" spans="1:15" ht="6" customHeight="1"/>
    <row r="27" spans="1:15" ht="30" customHeight="1">
      <c r="A27" s="8">
        <v>1</v>
      </c>
      <c r="C27" s="8"/>
      <c r="E27" s="34" t="s">
        <v>53</v>
      </c>
      <c r="F27" s="34"/>
      <c r="G27" s="34"/>
      <c r="H27" s="34"/>
      <c r="I27" s="34"/>
      <c r="J27" s="34"/>
      <c r="K27" s="34"/>
      <c r="L27" s="34"/>
      <c r="M27" s="11">
        <v>131.53</v>
      </c>
      <c r="N27" s="10"/>
      <c r="O27" s="13">
        <f>M27*A27</f>
        <v>131.53</v>
      </c>
    </row>
    <row r="28" spans="1:15" ht="6" customHeight="1">
      <c r="C28" s="6"/>
      <c r="E28" s="6"/>
      <c r="F28" s="6"/>
      <c r="G28" s="6"/>
      <c r="H28" s="6"/>
      <c r="I28" s="6"/>
      <c r="J28" s="6"/>
      <c r="K28" s="6"/>
      <c r="L28" s="6"/>
      <c r="M28" s="10"/>
      <c r="N28" s="10"/>
      <c r="O28" s="10"/>
    </row>
    <row r="29" spans="1:15" ht="30" customHeight="1">
      <c r="A29" s="8"/>
      <c r="C29" s="8"/>
      <c r="E29" s="34"/>
      <c r="F29" s="34"/>
      <c r="G29" s="34"/>
      <c r="H29" s="34"/>
      <c r="I29" s="34"/>
      <c r="J29" s="34"/>
      <c r="K29" s="34"/>
      <c r="L29" s="34"/>
      <c r="M29" s="11"/>
      <c r="N29" s="10"/>
      <c r="O29" s="13">
        <f>M29*A29</f>
        <v>0</v>
      </c>
    </row>
    <row r="30" spans="1:15" ht="6" customHeight="1">
      <c r="C30" s="6"/>
      <c r="E30" s="6"/>
      <c r="F30" s="6"/>
      <c r="G30" s="6"/>
      <c r="H30" s="6"/>
      <c r="I30" s="6"/>
      <c r="J30" s="6"/>
      <c r="K30" s="6"/>
      <c r="L30" s="6"/>
      <c r="M30" s="12"/>
      <c r="N30" s="10"/>
      <c r="O30" s="10"/>
    </row>
    <row r="31" spans="1:15" ht="30" customHeight="1">
      <c r="A31" s="8"/>
      <c r="C31" s="8"/>
      <c r="E31" s="34"/>
      <c r="F31" s="34"/>
      <c r="G31" s="34"/>
      <c r="H31" s="34"/>
      <c r="I31" s="34"/>
      <c r="J31" s="34"/>
      <c r="K31" s="34"/>
      <c r="L31" s="34"/>
      <c r="M31" s="11"/>
      <c r="N31" s="10"/>
      <c r="O31" s="13">
        <f>M31*A31</f>
        <v>0</v>
      </c>
    </row>
    <row r="32" spans="1:15" ht="6" customHeight="1">
      <c r="C32" s="6"/>
      <c r="E32" s="6"/>
      <c r="F32" s="6"/>
      <c r="G32" s="6"/>
      <c r="H32" s="6"/>
      <c r="I32" s="6"/>
      <c r="J32" s="6"/>
      <c r="K32" s="6"/>
      <c r="L32" s="6"/>
      <c r="M32" s="10"/>
      <c r="N32" s="10"/>
      <c r="O32" s="10"/>
    </row>
    <row r="33" spans="1:15" ht="30" customHeight="1">
      <c r="A33" s="8"/>
      <c r="C33" s="8"/>
      <c r="E33" s="34"/>
      <c r="F33" s="34"/>
      <c r="G33" s="34"/>
      <c r="H33" s="34"/>
      <c r="I33" s="34"/>
      <c r="J33" s="34"/>
      <c r="K33" s="34"/>
      <c r="L33" s="34"/>
      <c r="M33" s="11"/>
      <c r="N33" s="10"/>
      <c r="O33" s="13">
        <f>M33*A33</f>
        <v>0</v>
      </c>
    </row>
    <row r="34" spans="1:15" ht="6" customHeight="1">
      <c r="C34" s="6"/>
      <c r="E34" s="6"/>
      <c r="F34" s="6"/>
      <c r="G34" s="6"/>
      <c r="H34" s="6"/>
      <c r="I34" s="6"/>
      <c r="J34" s="6"/>
      <c r="K34" s="6"/>
      <c r="L34" s="6"/>
    </row>
    <row r="35" spans="1:15" ht="30" customHeight="1">
      <c r="A35" s="8"/>
      <c r="C35" s="8"/>
      <c r="E35" s="33"/>
      <c r="F35" s="26"/>
      <c r="G35" s="26"/>
      <c r="H35" s="26"/>
      <c r="I35" s="26"/>
      <c r="J35" s="26"/>
      <c r="K35" s="27"/>
      <c r="L35" s="6"/>
      <c r="M35" s="9"/>
      <c r="O35" s="13">
        <f>M35*A35</f>
        <v>0</v>
      </c>
    </row>
    <row r="36" spans="1:15" ht="6" customHeight="1">
      <c r="C36" s="6"/>
      <c r="E36" s="6"/>
      <c r="F36" s="6"/>
      <c r="G36" s="6"/>
      <c r="H36" s="6"/>
      <c r="I36" s="6"/>
      <c r="J36" s="6"/>
      <c r="K36" s="6"/>
      <c r="L36" s="6"/>
    </row>
    <row r="37" spans="1:15" ht="30" customHeight="1">
      <c r="A37" s="8"/>
      <c r="C37" s="7"/>
      <c r="E37" s="33"/>
      <c r="F37" s="26"/>
      <c r="G37" s="26"/>
      <c r="H37" s="26"/>
      <c r="I37" s="26"/>
      <c r="J37" s="26"/>
      <c r="K37" s="27"/>
      <c r="L37" s="6"/>
      <c r="M37" s="5"/>
      <c r="O37" s="13">
        <f>M37*A37</f>
        <v>0</v>
      </c>
    </row>
    <row r="38" spans="1:15" ht="36.75" customHeight="1"/>
    <row r="39" spans="1:15" s="2" customFormat="1" ht="30" customHeight="1">
      <c r="A39" s="3" t="s">
        <v>7</v>
      </c>
      <c r="B39" s="3"/>
      <c r="C39" s="3"/>
      <c r="D39" s="46" t="s">
        <v>52</v>
      </c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8"/>
    </row>
    <row r="40" spans="1:15" s="2" customFormat="1" ht="12.75" customHeight="1"/>
    <row r="41" spans="1:15" s="2" customFormat="1" ht="30" customHeight="1">
      <c r="A41" s="4" t="s">
        <v>6</v>
      </c>
      <c r="B41" s="3"/>
      <c r="C41" s="3"/>
      <c r="D41" s="46" t="s">
        <v>55</v>
      </c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8"/>
    </row>
    <row r="42" spans="1:15" s="2" customFormat="1" ht="12.75" customHeight="1"/>
    <row r="43" spans="1:15" s="2" customFormat="1" ht="30" customHeight="1">
      <c r="A43" s="3" t="s">
        <v>5</v>
      </c>
      <c r="B43" s="3"/>
      <c r="C43" s="3"/>
      <c r="D43" s="46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8"/>
    </row>
    <row r="44" spans="1:15" s="2" customFormat="1" ht="12.75" customHeight="1"/>
    <row r="45" spans="1:15" s="2" customFormat="1" ht="30" customHeight="1">
      <c r="A45" s="4" t="s">
        <v>4</v>
      </c>
      <c r="B45" s="4"/>
      <c r="C45" s="3"/>
      <c r="D45" s="46"/>
      <c r="E45" s="47"/>
      <c r="F45" s="47"/>
      <c r="G45" s="48"/>
      <c r="H45" s="54" t="s">
        <v>3</v>
      </c>
      <c r="I45" s="55"/>
      <c r="J45" s="55"/>
      <c r="K45" s="56"/>
      <c r="L45" s="57"/>
      <c r="M45" s="57"/>
      <c r="N45" s="57"/>
      <c r="O45" s="58"/>
    </row>
    <row r="46" spans="1:15" s="2" customFormat="1" ht="12.75" customHeight="1"/>
    <row r="47" spans="1:15" s="2" customFormat="1" ht="30" customHeight="1">
      <c r="A47" s="3" t="s">
        <v>2</v>
      </c>
      <c r="B47" s="3"/>
      <c r="C47" s="3"/>
      <c r="D47" s="46"/>
      <c r="E47" s="47"/>
      <c r="F47" s="47"/>
      <c r="G47" s="48"/>
      <c r="H47" s="49" t="s">
        <v>1</v>
      </c>
      <c r="I47" s="50"/>
      <c r="J47" s="51"/>
      <c r="K47" s="52"/>
      <c r="L47" s="52"/>
      <c r="M47" s="52"/>
      <c r="N47" s="52"/>
      <c r="O47" s="53"/>
    </row>
    <row r="48" spans="1:15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</sheetData>
  <mergeCells count="34">
    <mergeCell ref="D47:G47"/>
    <mergeCell ref="H47:I47"/>
    <mergeCell ref="J47:O47"/>
    <mergeCell ref="E29:L29"/>
    <mergeCell ref="E31:L31"/>
    <mergeCell ref="E33:L33"/>
    <mergeCell ref="E35:K35"/>
    <mergeCell ref="E37:K37"/>
    <mergeCell ref="D39:O39"/>
    <mergeCell ref="D41:O41"/>
    <mergeCell ref="D43:O43"/>
    <mergeCell ref="D45:G45"/>
    <mergeCell ref="H45:J45"/>
    <mergeCell ref="K45:O45"/>
    <mergeCell ref="E27:L27"/>
    <mergeCell ref="E8:O8"/>
    <mergeCell ref="E10:J10"/>
    <mergeCell ref="K10:M10"/>
    <mergeCell ref="H12:O12"/>
    <mergeCell ref="A14:G14"/>
    <mergeCell ref="H14:O14"/>
    <mergeCell ref="I16:O16"/>
    <mergeCell ref="A19:O19"/>
    <mergeCell ref="A20:O20"/>
    <mergeCell ref="A23:O23"/>
    <mergeCell ref="E25:K25"/>
    <mergeCell ref="A6:C6"/>
    <mergeCell ref="E6:H6"/>
    <mergeCell ref="K6:O6"/>
    <mergeCell ref="A1:O1"/>
    <mergeCell ref="A2:O2"/>
    <mergeCell ref="A4:C4"/>
    <mergeCell ref="E4:H4"/>
    <mergeCell ref="K4:O4"/>
  </mergeCells>
  <pageMargins left="0.25" right="0.25" top="0.75" bottom="0.75" header="0.3" footer="0.3"/>
  <pageSetup scale="6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75E30-198B-4D73-B5C6-BCA1C9AF80C4}">
  <dimension ref="A1:O61"/>
  <sheetViews>
    <sheetView topLeftCell="A2" zoomScale="70" zoomScaleNormal="70" workbookViewId="0">
      <selection activeCell="D40" sqref="D40"/>
    </sheetView>
  </sheetViews>
  <sheetFormatPr defaultColWidth="9.140625" defaultRowHeight="12.75"/>
  <cols>
    <col min="1" max="1" width="10.85546875" style="1" customWidth="1"/>
    <col min="2" max="2" width="1.28515625" style="1" customWidth="1"/>
    <col min="3" max="3" width="13.85546875" style="1" customWidth="1"/>
    <col min="4" max="4" width="1" style="1" customWidth="1"/>
    <col min="5" max="5" width="11.140625" style="1" customWidth="1"/>
    <col min="6" max="6" width="1" style="1" customWidth="1"/>
    <col min="7" max="7" width="26.42578125" style="1" customWidth="1"/>
    <col min="8" max="8" width="8.42578125" style="1" customWidth="1"/>
    <col min="9" max="9" width="1" style="1" customWidth="1"/>
    <col min="10" max="10" width="18.140625" style="1" customWidth="1"/>
    <col min="11" max="11" width="18.28515625" style="1" customWidth="1"/>
    <col min="12" max="12" width="1" style="1" customWidth="1"/>
    <col min="13" max="13" width="13.85546875" style="1" bestFit="1" customWidth="1"/>
    <col min="14" max="14" width="1" style="1" customWidth="1"/>
    <col min="15" max="15" width="24.140625" style="1" customWidth="1"/>
    <col min="16" max="16" width="8" style="1" customWidth="1"/>
    <col min="17" max="16384" width="9.140625" style="1"/>
  </cols>
  <sheetData>
    <row r="1" spans="1:15" ht="30" customHeight="1">
      <c r="A1" s="31" t="s">
        <v>29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s="20" customFormat="1" ht="30" customHeight="1">
      <c r="A2" s="32" t="s">
        <v>20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30" customHeight="1"/>
    <row r="4" spans="1:15" s="2" customFormat="1" ht="30" customHeight="1">
      <c r="A4" s="24" t="s">
        <v>19</v>
      </c>
      <c r="B4" s="24"/>
      <c r="C4" s="24"/>
      <c r="D4" s="17"/>
      <c r="E4" s="33" t="s">
        <v>28</v>
      </c>
      <c r="F4" s="26"/>
      <c r="G4" s="26"/>
      <c r="H4" s="27"/>
      <c r="J4" s="22" t="s">
        <v>23</v>
      </c>
      <c r="K4" s="33" t="s">
        <v>31</v>
      </c>
      <c r="L4" s="26"/>
      <c r="M4" s="26"/>
      <c r="N4" s="26"/>
      <c r="O4" s="27"/>
    </row>
    <row r="5" spans="1:15" ht="6" customHeight="1"/>
    <row r="6" spans="1:15" s="2" customFormat="1" ht="30" customHeight="1">
      <c r="A6" s="24" t="s">
        <v>18</v>
      </c>
      <c r="B6" s="24"/>
      <c r="C6" s="24"/>
      <c r="D6" s="17"/>
      <c r="E6" s="25">
        <f ca="1">NOW()</f>
        <v>46119.416926041667</v>
      </c>
      <c r="F6" s="26"/>
      <c r="G6" s="26"/>
      <c r="H6" s="27"/>
      <c r="J6" s="22" t="s">
        <v>24</v>
      </c>
      <c r="K6" s="28">
        <f ca="1">NOW()</f>
        <v>46119.416926041667</v>
      </c>
      <c r="L6" s="29"/>
      <c r="M6" s="29"/>
      <c r="N6" s="29"/>
      <c r="O6" s="30"/>
    </row>
    <row r="7" spans="1:15" ht="6" customHeight="1"/>
    <row r="8" spans="1:15" s="2" customFormat="1" ht="30" customHeight="1">
      <c r="A8" s="22" t="s">
        <v>21</v>
      </c>
      <c r="B8" s="19"/>
      <c r="C8" s="19"/>
      <c r="D8" s="19"/>
      <c r="E8" s="35" t="s">
        <v>50</v>
      </c>
      <c r="F8" s="36"/>
      <c r="G8" s="36"/>
      <c r="H8" s="36"/>
      <c r="I8" s="36"/>
      <c r="J8" s="36"/>
      <c r="K8" s="36"/>
      <c r="L8" s="36"/>
      <c r="M8" s="36"/>
      <c r="N8" s="36"/>
      <c r="O8" s="37"/>
    </row>
    <row r="9" spans="1:15" ht="6" customHeight="1"/>
    <row r="10" spans="1:15" s="2" customFormat="1" ht="30" customHeight="1">
      <c r="A10" s="22" t="s">
        <v>22</v>
      </c>
      <c r="B10" s="19"/>
      <c r="C10" s="19"/>
      <c r="D10" s="19"/>
      <c r="E10" s="38" t="s">
        <v>47</v>
      </c>
      <c r="F10" s="39"/>
      <c r="G10" s="39"/>
      <c r="H10" s="39"/>
      <c r="I10" s="39"/>
      <c r="J10" s="40"/>
      <c r="K10" s="24" t="s">
        <v>17</v>
      </c>
      <c r="L10" s="24"/>
      <c r="M10" s="24"/>
      <c r="N10" s="17"/>
      <c r="O10" s="18">
        <f>SUM(O27,O29,O31,O33,O35,O37)</f>
        <v>632</v>
      </c>
    </row>
    <row r="12" spans="1:15" s="2" customFormat="1" ht="30" customHeight="1" thickBot="1">
      <c r="A12" s="21" t="s">
        <v>25</v>
      </c>
      <c r="B12" s="17"/>
      <c r="H12" s="41"/>
      <c r="I12" s="41"/>
      <c r="J12" s="41"/>
      <c r="K12" s="41"/>
      <c r="L12" s="41"/>
      <c r="M12" s="41"/>
      <c r="N12" s="41"/>
      <c r="O12" s="41"/>
    </row>
    <row r="14" spans="1:15" s="2" customFormat="1" ht="30" customHeight="1" thickBot="1">
      <c r="A14" s="24" t="s">
        <v>26</v>
      </c>
      <c r="B14" s="24"/>
      <c r="C14" s="24"/>
      <c r="D14" s="24"/>
      <c r="E14" s="24"/>
      <c r="F14" s="24"/>
      <c r="G14" s="24"/>
      <c r="H14" s="41"/>
      <c r="I14" s="41"/>
      <c r="J14" s="41"/>
      <c r="K14" s="41"/>
      <c r="L14" s="41"/>
      <c r="M14" s="41"/>
      <c r="N14" s="41"/>
      <c r="O14" s="41"/>
    </row>
    <row r="16" spans="1:15" s="2" customFormat="1" ht="30" customHeight="1" thickBot="1">
      <c r="A16" s="21" t="s">
        <v>27</v>
      </c>
      <c r="B16" s="17"/>
      <c r="C16" s="17"/>
      <c r="D16" s="17"/>
      <c r="E16" s="17"/>
      <c r="F16" s="17"/>
      <c r="G16" s="17"/>
      <c r="H16" s="16"/>
      <c r="I16" s="41"/>
      <c r="J16" s="41"/>
      <c r="K16" s="41"/>
      <c r="L16" s="41"/>
      <c r="M16" s="41"/>
      <c r="N16" s="41"/>
      <c r="O16" s="41"/>
    </row>
    <row r="17" spans="1:15" ht="18.75" customHeight="1"/>
    <row r="18" spans="1:15" s="2" customFormat="1" ht="30" customHeight="1">
      <c r="A18" s="4" t="s">
        <v>16</v>
      </c>
      <c r="B18" s="4"/>
      <c r="C18" s="4"/>
      <c r="D18" s="4"/>
    </row>
    <row r="19" spans="1:15" s="2" customFormat="1" ht="24.75" customHeight="1">
      <c r="A19" s="42" t="s">
        <v>15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</row>
    <row r="20" spans="1:15" s="2" customFormat="1" ht="24.75" customHeight="1">
      <c r="A20" s="42" t="s">
        <v>14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</row>
    <row r="21" spans="1:15" ht="15" customHeight="1"/>
    <row r="22" spans="1:15" s="2" customFormat="1" ht="30" customHeight="1">
      <c r="A22" s="3" t="s">
        <v>13</v>
      </c>
      <c r="B22" s="3"/>
      <c r="C22" s="3"/>
      <c r="D22" s="3"/>
    </row>
    <row r="23" spans="1:15" s="2" customFormat="1" ht="39.75" customHeight="1">
      <c r="A23" s="43" t="s">
        <v>12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</row>
    <row r="24" spans="1:15" ht="41.2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5" s="2" customFormat="1" ht="19.5">
      <c r="A25" s="14" t="s">
        <v>11</v>
      </c>
      <c r="B25" s="14"/>
      <c r="C25" s="14" t="s">
        <v>10</v>
      </c>
      <c r="E25" s="45" t="s">
        <v>0</v>
      </c>
      <c r="F25" s="45"/>
      <c r="G25" s="45"/>
      <c r="H25" s="45"/>
      <c r="I25" s="45"/>
      <c r="J25" s="45"/>
      <c r="K25" s="45"/>
      <c r="L25" s="14"/>
      <c r="M25" s="14" t="s">
        <v>9</v>
      </c>
      <c r="N25" s="14"/>
      <c r="O25" s="14" t="s">
        <v>8</v>
      </c>
    </row>
    <row r="26" spans="1:15" ht="6" customHeight="1"/>
    <row r="27" spans="1:15" ht="30" customHeight="1">
      <c r="A27" s="8">
        <v>1</v>
      </c>
      <c r="C27" s="8"/>
      <c r="E27" s="34" t="s">
        <v>50</v>
      </c>
      <c r="F27" s="34"/>
      <c r="G27" s="34"/>
      <c r="H27" s="34"/>
      <c r="I27" s="34"/>
      <c r="J27" s="34"/>
      <c r="K27" s="34"/>
      <c r="L27" s="34"/>
      <c r="M27" s="11">
        <v>632</v>
      </c>
      <c r="N27" s="10"/>
      <c r="O27" s="13">
        <f>M27*A27</f>
        <v>632</v>
      </c>
    </row>
    <row r="28" spans="1:15" ht="6" customHeight="1">
      <c r="C28" s="6"/>
      <c r="E28" s="6"/>
      <c r="F28" s="6"/>
      <c r="G28" s="6"/>
      <c r="H28" s="6"/>
      <c r="I28" s="6"/>
      <c r="J28" s="6"/>
      <c r="K28" s="6"/>
      <c r="L28" s="6"/>
      <c r="M28" s="10"/>
      <c r="N28" s="10"/>
      <c r="O28" s="10"/>
    </row>
    <row r="29" spans="1:15" ht="30" customHeight="1">
      <c r="A29" s="8"/>
      <c r="C29" s="8"/>
      <c r="E29" s="34"/>
      <c r="F29" s="34"/>
      <c r="G29" s="34"/>
      <c r="H29" s="34"/>
      <c r="I29" s="34"/>
      <c r="J29" s="34"/>
      <c r="K29" s="34"/>
      <c r="L29" s="34"/>
      <c r="M29" s="11"/>
      <c r="N29" s="10"/>
      <c r="O29" s="13">
        <f>M29*A29</f>
        <v>0</v>
      </c>
    </row>
    <row r="30" spans="1:15" ht="6" customHeight="1">
      <c r="C30" s="6"/>
      <c r="E30" s="6"/>
      <c r="F30" s="6"/>
      <c r="G30" s="6"/>
      <c r="H30" s="6"/>
      <c r="I30" s="6"/>
      <c r="J30" s="6"/>
      <c r="K30" s="6"/>
      <c r="L30" s="6"/>
      <c r="M30" s="12"/>
      <c r="N30" s="10"/>
      <c r="O30" s="10"/>
    </row>
    <row r="31" spans="1:15" ht="30" customHeight="1">
      <c r="A31" s="8"/>
      <c r="C31" s="8"/>
      <c r="E31" s="34"/>
      <c r="F31" s="34"/>
      <c r="G31" s="34"/>
      <c r="H31" s="34"/>
      <c r="I31" s="34"/>
      <c r="J31" s="34"/>
      <c r="K31" s="34"/>
      <c r="L31" s="34"/>
      <c r="M31" s="11"/>
      <c r="N31" s="10"/>
      <c r="O31" s="13">
        <f>M31*A31</f>
        <v>0</v>
      </c>
    </row>
    <row r="32" spans="1:15" ht="6" customHeight="1">
      <c r="C32" s="6"/>
      <c r="E32" s="6"/>
      <c r="F32" s="6"/>
      <c r="G32" s="6"/>
      <c r="H32" s="6"/>
      <c r="I32" s="6"/>
      <c r="J32" s="6"/>
      <c r="K32" s="6"/>
      <c r="L32" s="6"/>
      <c r="M32" s="10"/>
      <c r="N32" s="10"/>
      <c r="O32" s="10"/>
    </row>
    <row r="33" spans="1:15" ht="30" customHeight="1">
      <c r="A33" s="8"/>
      <c r="C33" s="8"/>
      <c r="E33" s="34"/>
      <c r="F33" s="34"/>
      <c r="G33" s="34"/>
      <c r="H33" s="34"/>
      <c r="I33" s="34"/>
      <c r="J33" s="34"/>
      <c r="K33" s="34"/>
      <c r="L33" s="34"/>
      <c r="M33" s="11"/>
      <c r="N33" s="10"/>
      <c r="O33" s="13">
        <f>M33*A33</f>
        <v>0</v>
      </c>
    </row>
    <row r="34" spans="1:15" ht="6" customHeight="1">
      <c r="C34" s="6"/>
      <c r="E34" s="6"/>
      <c r="F34" s="6"/>
      <c r="G34" s="6"/>
      <c r="H34" s="6"/>
      <c r="I34" s="6"/>
      <c r="J34" s="6"/>
      <c r="K34" s="6"/>
      <c r="L34" s="6"/>
    </row>
    <row r="35" spans="1:15" ht="30" customHeight="1">
      <c r="A35" s="8"/>
      <c r="C35" s="8"/>
      <c r="E35" s="33"/>
      <c r="F35" s="26"/>
      <c r="G35" s="26"/>
      <c r="H35" s="26"/>
      <c r="I35" s="26"/>
      <c r="J35" s="26"/>
      <c r="K35" s="27"/>
      <c r="L35" s="6"/>
      <c r="M35" s="9"/>
      <c r="O35" s="13">
        <f>M35*A35</f>
        <v>0</v>
      </c>
    </row>
    <row r="36" spans="1:15" ht="6" customHeight="1">
      <c r="C36" s="6"/>
      <c r="E36" s="6"/>
      <c r="F36" s="6"/>
      <c r="G36" s="6"/>
      <c r="H36" s="6"/>
      <c r="I36" s="6"/>
      <c r="J36" s="6"/>
      <c r="K36" s="6"/>
      <c r="L36" s="6"/>
    </row>
    <row r="37" spans="1:15" ht="30" customHeight="1">
      <c r="A37" s="8"/>
      <c r="C37" s="7"/>
      <c r="E37" s="33"/>
      <c r="F37" s="26"/>
      <c r="G37" s="26"/>
      <c r="H37" s="26"/>
      <c r="I37" s="26"/>
      <c r="J37" s="26"/>
      <c r="K37" s="27"/>
      <c r="L37" s="6"/>
      <c r="M37" s="5"/>
      <c r="O37" s="13">
        <f>M37*A37</f>
        <v>0</v>
      </c>
    </row>
    <row r="38" spans="1:15" ht="36.75" customHeight="1"/>
    <row r="39" spans="1:15" s="2" customFormat="1" ht="30" customHeight="1">
      <c r="A39" s="3" t="s">
        <v>7</v>
      </c>
      <c r="B39" s="3"/>
      <c r="C39" s="3"/>
      <c r="D39" s="46" t="s">
        <v>51</v>
      </c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8"/>
    </row>
    <row r="40" spans="1:15" s="2" customFormat="1" ht="12.75" customHeight="1"/>
    <row r="41" spans="1:15" s="2" customFormat="1" ht="30" customHeight="1">
      <c r="A41" s="4" t="s">
        <v>6</v>
      </c>
      <c r="B41" s="3"/>
      <c r="C41" s="3"/>
      <c r="D41" s="46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8"/>
    </row>
    <row r="42" spans="1:15" s="2" customFormat="1" ht="12.75" customHeight="1"/>
    <row r="43" spans="1:15" s="2" customFormat="1" ht="30" customHeight="1">
      <c r="A43" s="3" t="s">
        <v>5</v>
      </c>
      <c r="B43" s="3"/>
      <c r="C43" s="3"/>
      <c r="D43" s="46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8"/>
    </row>
    <row r="44" spans="1:15" s="2" customFormat="1" ht="12.75" customHeight="1"/>
    <row r="45" spans="1:15" s="2" customFormat="1" ht="30" customHeight="1">
      <c r="A45" s="4" t="s">
        <v>4</v>
      </c>
      <c r="B45" s="4"/>
      <c r="C45" s="3"/>
      <c r="D45" s="46"/>
      <c r="E45" s="47"/>
      <c r="F45" s="47"/>
      <c r="G45" s="48"/>
      <c r="H45" s="54" t="s">
        <v>3</v>
      </c>
      <c r="I45" s="55"/>
      <c r="J45" s="55"/>
      <c r="K45" s="56"/>
      <c r="L45" s="57"/>
      <c r="M45" s="57"/>
      <c r="N45" s="57"/>
      <c r="O45" s="58"/>
    </row>
    <row r="46" spans="1:15" s="2" customFormat="1" ht="12.75" customHeight="1"/>
    <row r="47" spans="1:15" s="2" customFormat="1" ht="30" customHeight="1">
      <c r="A47" s="3" t="s">
        <v>2</v>
      </c>
      <c r="B47" s="3"/>
      <c r="C47" s="3"/>
      <c r="D47" s="46"/>
      <c r="E47" s="47"/>
      <c r="F47" s="47"/>
      <c r="G47" s="48"/>
      <c r="H47" s="49" t="s">
        <v>1</v>
      </c>
      <c r="I47" s="50"/>
      <c r="J47" s="51"/>
      <c r="K47" s="52"/>
      <c r="L47" s="52"/>
      <c r="M47" s="52"/>
      <c r="N47" s="52"/>
      <c r="O47" s="53"/>
    </row>
    <row r="48" spans="1:15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</sheetData>
  <mergeCells count="34">
    <mergeCell ref="D47:G47"/>
    <mergeCell ref="H47:I47"/>
    <mergeCell ref="J47:O47"/>
    <mergeCell ref="E29:L29"/>
    <mergeCell ref="E31:L31"/>
    <mergeCell ref="E33:L33"/>
    <mergeCell ref="E35:K35"/>
    <mergeCell ref="E37:K37"/>
    <mergeCell ref="D39:O39"/>
    <mergeCell ref="D41:O41"/>
    <mergeCell ref="D43:O43"/>
    <mergeCell ref="D45:G45"/>
    <mergeCell ref="H45:J45"/>
    <mergeCell ref="K45:O45"/>
    <mergeCell ref="E27:L27"/>
    <mergeCell ref="E8:O8"/>
    <mergeCell ref="E10:J10"/>
    <mergeCell ref="K10:M10"/>
    <mergeCell ref="H12:O12"/>
    <mergeCell ref="A14:G14"/>
    <mergeCell ref="H14:O14"/>
    <mergeCell ref="I16:O16"/>
    <mergeCell ref="A19:O19"/>
    <mergeCell ref="A20:O20"/>
    <mergeCell ref="A23:O23"/>
    <mergeCell ref="E25:K25"/>
    <mergeCell ref="A6:C6"/>
    <mergeCell ref="E6:H6"/>
    <mergeCell ref="K6:O6"/>
    <mergeCell ref="A1:O1"/>
    <mergeCell ref="A2:O2"/>
    <mergeCell ref="A4:C4"/>
    <mergeCell ref="E4:H4"/>
    <mergeCell ref="K4:O4"/>
  </mergeCells>
  <pageMargins left="0.25" right="0.25" top="0.75" bottom="0.75" header="0.3" footer="0.3"/>
  <pageSetup scale="6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87FFA-909E-41BB-B874-6AECC3A8517D}">
  <dimension ref="A1:A11"/>
  <sheetViews>
    <sheetView workbookViewId="0">
      <selection activeCell="A11" sqref="A11"/>
    </sheetView>
  </sheetViews>
  <sheetFormatPr defaultRowHeight="15"/>
  <cols>
    <col min="1" max="1" width="40.5703125" bestFit="1" customWidth="1"/>
  </cols>
  <sheetData>
    <row r="1" spans="1:1">
      <c r="A1" t="s">
        <v>33</v>
      </c>
    </row>
    <row r="2" spans="1:1">
      <c r="A2" t="s">
        <v>34</v>
      </c>
    </row>
    <row r="3" spans="1:1">
      <c r="A3" t="s">
        <v>35</v>
      </c>
    </row>
    <row r="4" spans="1:1">
      <c r="A4" t="s">
        <v>36</v>
      </c>
    </row>
    <row r="5" spans="1:1">
      <c r="A5" t="s">
        <v>37</v>
      </c>
    </row>
    <row r="6" spans="1:1">
      <c r="A6" t="s">
        <v>38</v>
      </c>
    </row>
    <row r="7" spans="1:1">
      <c r="A7" t="s">
        <v>39</v>
      </c>
    </row>
    <row r="8" spans="1:1">
      <c r="A8" t="s">
        <v>44</v>
      </c>
    </row>
    <row r="9" spans="1:1">
      <c r="A9" t="s">
        <v>45</v>
      </c>
    </row>
    <row r="10" spans="1:1">
      <c r="A10" t="s">
        <v>46</v>
      </c>
    </row>
    <row r="11" spans="1:1">
      <c r="A11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75939-9D05-4EFD-AFFC-33770B4FA051}">
  <sheetPr>
    <pageSetUpPr fitToPage="1"/>
  </sheetPr>
  <dimension ref="A1:O61"/>
  <sheetViews>
    <sheetView zoomScale="70" zoomScaleNormal="70" workbookViewId="0">
      <selection activeCell="T22" sqref="T22"/>
    </sheetView>
  </sheetViews>
  <sheetFormatPr defaultColWidth="9.140625" defaultRowHeight="12.75"/>
  <cols>
    <col min="1" max="1" width="10.85546875" style="1" customWidth="1"/>
    <col min="2" max="2" width="1.28515625" style="1" customWidth="1"/>
    <col min="3" max="3" width="13.85546875" style="1" customWidth="1"/>
    <col min="4" max="4" width="1" style="1" customWidth="1"/>
    <col min="5" max="5" width="11.140625" style="1" customWidth="1"/>
    <col min="6" max="6" width="1" style="1" customWidth="1"/>
    <col min="7" max="7" width="26.42578125" style="1" customWidth="1"/>
    <col min="8" max="8" width="8.42578125" style="1" customWidth="1"/>
    <col min="9" max="9" width="1" style="1" customWidth="1"/>
    <col min="10" max="10" width="18.140625" style="1" customWidth="1"/>
    <col min="11" max="11" width="18.28515625" style="1" customWidth="1"/>
    <col min="12" max="12" width="1" style="1" customWidth="1"/>
    <col min="13" max="13" width="15" style="1" bestFit="1" customWidth="1"/>
    <col min="14" max="14" width="1" style="1" customWidth="1"/>
    <col min="15" max="15" width="24.140625" style="1" customWidth="1"/>
    <col min="16" max="16" width="8" style="1" customWidth="1"/>
    <col min="17" max="16384" width="9.140625" style="1"/>
  </cols>
  <sheetData>
    <row r="1" spans="1:15" ht="30" customHeight="1">
      <c r="A1" s="31" t="s">
        <v>29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s="20" customFormat="1" ht="30" customHeight="1">
      <c r="A2" s="32" t="s">
        <v>20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30" customHeight="1"/>
    <row r="4" spans="1:15" s="2" customFormat="1" ht="30" customHeight="1">
      <c r="A4" s="24" t="s">
        <v>19</v>
      </c>
      <c r="B4" s="24"/>
      <c r="C4" s="24"/>
      <c r="D4" s="17"/>
      <c r="E4" s="33" t="s">
        <v>28</v>
      </c>
      <c r="F4" s="26"/>
      <c r="G4" s="26"/>
      <c r="H4" s="27"/>
      <c r="J4" s="22" t="s">
        <v>23</v>
      </c>
      <c r="K4" s="33" t="s">
        <v>30</v>
      </c>
      <c r="L4" s="26"/>
      <c r="M4" s="26"/>
      <c r="N4" s="26"/>
      <c r="O4" s="27"/>
    </row>
    <row r="5" spans="1:15" ht="6" customHeight="1"/>
    <row r="6" spans="1:15" s="2" customFormat="1" ht="30" customHeight="1">
      <c r="A6" s="24" t="s">
        <v>18</v>
      </c>
      <c r="B6" s="24"/>
      <c r="C6" s="24"/>
      <c r="D6" s="17"/>
      <c r="E6" s="25">
        <f ca="1">NOW()</f>
        <v>46119.416926041667</v>
      </c>
      <c r="F6" s="26"/>
      <c r="G6" s="26"/>
      <c r="H6" s="27"/>
      <c r="J6" s="22" t="s">
        <v>24</v>
      </c>
      <c r="K6" s="28">
        <f ca="1">NOW()</f>
        <v>46119.416926041667</v>
      </c>
      <c r="L6" s="29"/>
      <c r="M6" s="29"/>
      <c r="N6" s="29"/>
      <c r="O6" s="30"/>
    </row>
    <row r="7" spans="1:15" ht="6" customHeight="1"/>
    <row r="8" spans="1:15" s="2" customFormat="1" ht="30" customHeight="1">
      <c r="A8" s="22" t="s">
        <v>21</v>
      </c>
      <c r="B8" s="19"/>
      <c r="C8" s="19"/>
      <c r="D8" s="19"/>
      <c r="E8" s="35" t="s">
        <v>41</v>
      </c>
      <c r="F8" s="36"/>
      <c r="G8" s="36"/>
      <c r="H8" s="36"/>
      <c r="I8" s="36"/>
      <c r="J8" s="36"/>
      <c r="K8" s="36"/>
      <c r="L8" s="36"/>
      <c r="M8" s="36"/>
      <c r="N8" s="36"/>
      <c r="O8" s="37"/>
    </row>
    <row r="9" spans="1:15" ht="6" customHeight="1"/>
    <row r="10" spans="1:15" s="2" customFormat="1" ht="30" customHeight="1">
      <c r="A10" s="22" t="s">
        <v>22</v>
      </c>
      <c r="B10" s="19"/>
      <c r="C10" s="19"/>
      <c r="D10" s="19"/>
      <c r="E10" s="38"/>
      <c r="F10" s="39"/>
      <c r="G10" s="39"/>
      <c r="H10" s="39"/>
      <c r="I10" s="39"/>
      <c r="J10" s="40"/>
      <c r="K10" s="24" t="s">
        <v>17</v>
      </c>
      <c r="L10" s="24"/>
      <c r="M10" s="24"/>
      <c r="N10" s="17"/>
      <c r="O10" s="18">
        <f>SUM(O27:O37)</f>
        <v>1000</v>
      </c>
    </row>
    <row r="12" spans="1:15" s="2" customFormat="1" ht="30" customHeight="1" thickBot="1">
      <c r="A12" s="21" t="s">
        <v>25</v>
      </c>
      <c r="B12" s="17"/>
      <c r="H12" s="41"/>
      <c r="I12" s="41"/>
      <c r="J12" s="41"/>
      <c r="K12" s="41"/>
      <c r="L12" s="41"/>
      <c r="M12" s="41"/>
      <c r="N12" s="41"/>
      <c r="O12" s="41"/>
    </row>
    <row r="14" spans="1:15" s="2" customFormat="1" ht="30" customHeight="1" thickBot="1">
      <c r="A14" s="24" t="s">
        <v>26</v>
      </c>
      <c r="B14" s="24"/>
      <c r="C14" s="24"/>
      <c r="D14" s="24"/>
      <c r="E14" s="24"/>
      <c r="F14" s="24"/>
      <c r="G14" s="24"/>
      <c r="H14" s="41"/>
      <c r="I14" s="41"/>
      <c r="J14" s="41"/>
      <c r="K14" s="41"/>
      <c r="L14" s="41"/>
      <c r="M14" s="41"/>
      <c r="N14" s="41"/>
      <c r="O14" s="41"/>
    </row>
    <row r="16" spans="1:15" s="2" customFormat="1" ht="30" customHeight="1" thickBot="1">
      <c r="A16" s="21" t="s">
        <v>27</v>
      </c>
      <c r="B16" s="17"/>
      <c r="C16" s="17"/>
      <c r="D16" s="17"/>
      <c r="E16" s="17"/>
      <c r="F16" s="17"/>
      <c r="G16" s="17"/>
      <c r="H16" s="16"/>
      <c r="I16" s="41"/>
      <c r="J16" s="41"/>
      <c r="K16" s="41"/>
      <c r="L16" s="41"/>
      <c r="M16" s="41"/>
      <c r="N16" s="41"/>
      <c r="O16" s="41"/>
    </row>
    <row r="17" spans="1:15" ht="18.75" customHeight="1"/>
    <row r="18" spans="1:15" s="2" customFormat="1" ht="30" customHeight="1">
      <c r="A18" s="4" t="s">
        <v>16</v>
      </c>
      <c r="B18" s="4"/>
      <c r="C18" s="4"/>
      <c r="D18" s="4"/>
    </row>
    <row r="19" spans="1:15" s="2" customFormat="1" ht="24.75" customHeight="1">
      <c r="A19" s="42" t="s">
        <v>15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</row>
    <row r="20" spans="1:15" s="2" customFormat="1" ht="24.75" customHeight="1">
      <c r="A20" s="42" t="s">
        <v>14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</row>
    <row r="21" spans="1:15" ht="15" customHeight="1"/>
    <row r="22" spans="1:15" s="2" customFormat="1" ht="30" customHeight="1">
      <c r="A22" s="3" t="s">
        <v>13</v>
      </c>
      <c r="B22" s="3"/>
      <c r="C22" s="3"/>
      <c r="D22" s="3"/>
    </row>
    <row r="23" spans="1:15" s="2" customFormat="1" ht="39.75" customHeight="1">
      <c r="A23" s="43" t="s">
        <v>12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</row>
    <row r="24" spans="1:15" ht="41.2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5" s="2" customFormat="1" ht="19.5">
      <c r="A25" s="14" t="s">
        <v>11</v>
      </c>
      <c r="B25" s="14"/>
      <c r="C25" s="14" t="s">
        <v>10</v>
      </c>
      <c r="E25" s="45" t="s">
        <v>0</v>
      </c>
      <c r="F25" s="45"/>
      <c r="G25" s="45"/>
      <c r="H25" s="45"/>
      <c r="I25" s="45"/>
      <c r="J25" s="45"/>
      <c r="K25" s="45"/>
      <c r="L25" s="14"/>
      <c r="M25" s="14" t="s">
        <v>9</v>
      </c>
      <c r="N25" s="14"/>
      <c r="O25" s="14" t="s">
        <v>8</v>
      </c>
    </row>
    <row r="26" spans="1:15" ht="6" customHeight="1"/>
    <row r="27" spans="1:15" ht="30" customHeight="1">
      <c r="A27" s="8">
        <v>20</v>
      </c>
      <c r="C27" s="8"/>
      <c r="E27" s="34" t="s">
        <v>42</v>
      </c>
      <c r="F27" s="34"/>
      <c r="G27" s="34"/>
      <c r="H27" s="34"/>
      <c r="I27" s="34"/>
      <c r="J27" s="34"/>
      <c r="K27" s="34"/>
      <c r="L27" s="34"/>
      <c r="M27" s="11">
        <v>50</v>
      </c>
      <c r="N27" s="10"/>
      <c r="O27" s="13">
        <f>M27*A27</f>
        <v>1000</v>
      </c>
    </row>
    <row r="28" spans="1:15" ht="6" customHeight="1">
      <c r="C28" s="6"/>
      <c r="E28" s="6"/>
      <c r="F28" s="6"/>
      <c r="G28" s="6"/>
      <c r="H28" s="6"/>
      <c r="I28" s="6"/>
      <c r="J28" s="6"/>
      <c r="K28" s="6"/>
      <c r="L28" s="6"/>
      <c r="M28" s="10"/>
      <c r="N28" s="10"/>
      <c r="O28" s="10"/>
    </row>
    <row r="29" spans="1:15" ht="30" customHeight="1">
      <c r="A29" s="8"/>
      <c r="C29" s="8"/>
      <c r="E29" s="34"/>
      <c r="F29" s="34"/>
      <c r="G29" s="34"/>
      <c r="H29" s="34"/>
      <c r="I29" s="34"/>
      <c r="J29" s="34"/>
      <c r="K29" s="34"/>
      <c r="L29" s="34"/>
      <c r="M29" s="11"/>
      <c r="N29" s="10"/>
      <c r="O29" s="13">
        <f>M29*A29</f>
        <v>0</v>
      </c>
    </row>
    <row r="30" spans="1:15" ht="6" customHeight="1">
      <c r="C30" s="6"/>
      <c r="E30" s="6"/>
      <c r="F30" s="6"/>
      <c r="G30" s="6"/>
      <c r="H30" s="6"/>
      <c r="I30" s="6"/>
      <c r="J30" s="6"/>
      <c r="K30" s="6"/>
      <c r="L30" s="6"/>
      <c r="M30" s="12"/>
      <c r="N30" s="10"/>
      <c r="O30" s="10"/>
    </row>
    <row r="31" spans="1:15" ht="30" customHeight="1">
      <c r="A31" s="8"/>
      <c r="C31" s="8"/>
      <c r="E31" s="34"/>
      <c r="F31" s="34"/>
      <c r="G31" s="34"/>
      <c r="H31" s="34"/>
      <c r="I31" s="34"/>
      <c r="J31" s="34"/>
      <c r="K31" s="34"/>
      <c r="L31" s="34"/>
      <c r="M31" s="11"/>
      <c r="N31" s="10"/>
      <c r="O31" s="13">
        <f>M31*A31</f>
        <v>0</v>
      </c>
    </row>
    <row r="32" spans="1:15" ht="6" customHeight="1">
      <c r="C32" s="6"/>
      <c r="E32" s="6"/>
      <c r="F32" s="6"/>
      <c r="G32" s="6"/>
      <c r="H32" s="6"/>
      <c r="I32" s="6"/>
      <c r="J32" s="6"/>
      <c r="K32" s="6"/>
      <c r="L32" s="6"/>
      <c r="M32" s="10"/>
      <c r="N32" s="10"/>
      <c r="O32" s="10"/>
    </row>
    <row r="33" spans="1:15" ht="30" customHeight="1">
      <c r="A33" s="8"/>
      <c r="C33" s="8"/>
      <c r="E33" s="34"/>
      <c r="F33" s="34"/>
      <c r="G33" s="34"/>
      <c r="H33" s="34"/>
      <c r="I33" s="34"/>
      <c r="J33" s="34"/>
      <c r="K33" s="34"/>
      <c r="L33" s="34"/>
      <c r="M33" s="11"/>
      <c r="N33" s="10"/>
      <c r="O33" s="9">
        <f>M33*A33</f>
        <v>0</v>
      </c>
    </row>
    <row r="34" spans="1:15" ht="6" customHeight="1">
      <c r="C34" s="6"/>
      <c r="E34" s="6"/>
      <c r="F34" s="6"/>
      <c r="G34" s="6"/>
      <c r="H34" s="6"/>
      <c r="I34" s="6"/>
      <c r="J34" s="6"/>
      <c r="K34" s="6"/>
      <c r="L34" s="6"/>
    </row>
    <row r="35" spans="1:15" ht="30" customHeight="1">
      <c r="A35" s="8"/>
      <c r="C35" s="8"/>
      <c r="E35" s="33"/>
      <c r="F35" s="26"/>
      <c r="G35" s="26"/>
      <c r="H35" s="26"/>
      <c r="I35" s="26"/>
      <c r="J35" s="26"/>
      <c r="K35" s="27"/>
      <c r="L35" s="6"/>
      <c r="M35" s="9"/>
      <c r="O35" s="9">
        <f>M35*A35</f>
        <v>0</v>
      </c>
    </row>
    <row r="36" spans="1:15" ht="6" customHeight="1">
      <c r="C36" s="6"/>
      <c r="E36" s="6"/>
      <c r="F36" s="6"/>
      <c r="G36" s="6"/>
      <c r="H36" s="6"/>
      <c r="I36" s="6"/>
      <c r="J36" s="6"/>
      <c r="K36" s="6"/>
      <c r="L36" s="6"/>
    </row>
    <row r="37" spans="1:15" ht="30" customHeight="1">
      <c r="A37" s="8"/>
      <c r="C37" s="7"/>
      <c r="E37" s="33"/>
      <c r="F37" s="26"/>
      <c r="G37" s="26"/>
      <c r="H37" s="26"/>
      <c r="I37" s="26"/>
      <c r="J37" s="26"/>
      <c r="K37" s="27"/>
      <c r="L37" s="6"/>
      <c r="M37" s="5"/>
      <c r="O37" s="9">
        <f>M37*A37</f>
        <v>0</v>
      </c>
    </row>
    <row r="38" spans="1:15" ht="36.75" customHeight="1"/>
    <row r="39" spans="1:15" s="2" customFormat="1" ht="30" customHeight="1">
      <c r="A39" s="3" t="s">
        <v>7</v>
      </c>
      <c r="B39" s="3"/>
      <c r="C39" s="3"/>
      <c r="D39" s="46" t="s">
        <v>43</v>
      </c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8"/>
    </row>
    <row r="40" spans="1:15" s="2" customFormat="1" ht="12.75" customHeight="1"/>
    <row r="41" spans="1:15" s="2" customFormat="1" ht="30" customHeight="1">
      <c r="A41" s="4" t="s">
        <v>6</v>
      </c>
      <c r="B41" s="3"/>
      <c r="C41" s="3"/>
      <c r="D41" s="46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8"/>
    </row>
    <row r="42" spans="1:15" s="2" customFormat="1" ht="12.75" customHeight="1"/>
    <row r="43" spans="1:15" s="2" customFormat="1" ht="30" customHeight="1">
      <c r="A43" s="3" t="s">
        <v>5</v>
      </c>
      <c r="B43" s="3"/>
      <c r="C43" s="3"/>
      <c r="D43" s="46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8"/>
    </row>
    <row r="44" spans="1:15" s="2" customFormat="1" ht="12.75" customHeight="1"/>
    <row r="45" spans="1:15" s="2" customFormat="1" ht="30" customHeight="1">
      <c r="A45" s="4" t="s">
        <v>4</v>
      </c>
      <c r="B45" s="4"/>
      <c r="C45" s="3"/>
      <c r="D45" s="46"/>
      <c r="E45" s="47"/>
      <c r="F45" s="47"/>
      <c r="G45" s="48"/>
      <c r="H45" s="54" t="s">
        <v>3</v>
      </c>
      <c r="I45" s="55"/>
      <c r="J45" s="55"/>
      <c r="K45" s="56"/>
      <c r="L45" s="57"/>
      <c r="M45" s="57"/>
      <c r="N45" s="57"/>
      <c r="O45" s="58"/>
    </row>
    <row r="46" spans="1:15" s="2" customFormat="1" ht="12.75" customHeight="1"/>
    <row r="47" spans="1:15" s="2" customFormat="1" ht="30" customHeight="1">
      <c r="A47" s="3" t="s">
        <v>2</v>
      </c>
      <c r="B47" s="3"/>
      <c r="C47" s="3"/>
      <c r="D47" s="46"/>
      <c r="E47" s="47"/>
      <c r="F47" s="47"/>
      <c r="G47" s="48"/>
      <c r="H47" s="49" t="s">
        <v>1</v>
      </c>
      <c r="I47" s="50"/>
      <c r="J47" s="51"/>
      <c r="K47" s="52"/>
      <c r="L47" s="52"/>
      <c r="M47" s="52"/>
      <c r="N47" s="52"/>
      <c r="O47" s="53"/>
    </row>
    <row r="48" spans="1:15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</sheetData>
  <mergeCells count="34">
    <mergeCell ref="A6:C6"/>
    <mergeCell ref="E6:H6"/>
    <mergeCell ref="K6:O6"/>
    <mergeCell ref="A1:O1"/>
    <mergeCell ref="A2:O2"/>
    <mergeCell ref="A4:C4"/>
    <mergeCell ref="E4:H4"/>
    <mergeCell ref="K4:O4"/>
    <mergeCell ref="E27:L27"/>
    <mergeCell ref="E8:O8"/>
    <mergeCell ref="E10:J10"/>
    <mergeCell ref="K10:M10"/>
    <mergeCell ref="H12:O12"/>
    <mergeCell ref="A14:G14"/>
    <mergeCell ref="H14:O14"/>
    <mergeCell ref="I16:O16"/>
    <mergeCell ref="A19:O19"/>
    <mergeCell ref="A20:O20"/>
    <mergeCell ref="A23:O23"/>
    <mergeCell ref="E25:K25"/>
    <mergeCell ref="D47:G47"/>
    <mergeCell ref="H47:I47"/>
    <mergeCell ref="J47:O47"/>
    <mergeCell ref="E29:L29"/>
    <mergeCell ref="E31:L31"/>
    <mergeCell ref="E33:L33"/>
    <mergeCell ref="E35:K35"/>
    <mergeCell ref="E37:K37"/>
    <mergeCell ref="D39:O39"/>
    <mergeCell ref="D41:O41"/>
    <mergeCell ref="D43:O43"/>
    <mergeCell ref="D45:G45"/>
    <mergeCell ref="H45:J45"/>
    <mergeCell ref="K45:O45"/>
  </mergeCells>
  <pageMargins left="0.25" right="0.25" top="0.75" bottom="0.75" header="0.3" footer="0.3"/>
  <pageSetup scale="66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B492CC-3888-4CB6-BADD-556182C049C1}">
          <x14:formula1>
            <xm:f>'Account List'!$A$1:$A$11</xm:f>
          </x14:formula1>
          <xm:sqref>E10:J10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</vt:lpstr>
      <vt:lpstr>STEM</vt:lpstr>
      <vt:lpstr>Field Trips</vt:lpstr>
      <vt:lpstr>Robotics</vt:lpstr>
      <vt:lpstr>Account List</vt:lpstr>
      <vt:lpstr>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Londono</dc:creator>
  <cp:lastModifiedBy>Brent Hollers</cp:lastModifiedBy>
  <cp:lastPrinted>2026-04-07T14:00:25Z</cp:lastPrinted>
  <dcterms:created xsi:type="dcterms:W3CDTF">2020-09-21T17:56:13Z</dcterms:created>
  <dcterms:modified xsi:type="dcterms:W3CDTF">2026-04-07T14:00:52Z</dcterms:modified>
</cp:coreProperties>
</file>